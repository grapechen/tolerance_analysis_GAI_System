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Tolerance_Project\server\data\"/>
    </mc:Choice>
  </mc:AlternateContent>
  <xr:revisionPtr revIDLastSave="0" documentId="13_ncr:1_{F0D3A6BF-CB1E-43B3-B9C9-4622291F3CA3}" xr6:coauthVersionLast="47" xr6:coauthVersionMax="47" xr10:uidLastSave="{00000000-0000-0000-0000-000000000000}"/>
  <bookViews>
    <workbookView xWindow="28680" yWindow="-120" windowWidth="29040" windowHeight="15720" firstSheet="8" activeTab="12" xr2:uid="{00000000-000D-0000-FFFF-FFFF00000000}"/>
  </bookViews>
  <sheets>
    <sheet name="軸a至c的限界偏差" sheetId="1" r:id="rId1"/>
    <sheet name="軸cd至d的限界偏差" sheetId="2" r:id="rId2"/>
    <sheet name="軸e至ef的限界偏差" sheetId="3" r:id="rId3"/>
    <sheet name="軸f至fg的限界偏差" sheetId="4" r:id="rId4"/>
    <sheet name="軸g的限界偏差" sheetId="5" r:id="rId5"/>
    <sheet name="軸h的限界偏差" sheetId="6" r:id="rId6"/>
    <sheet name="軸js的限界偏差" sheetId="7" r:id="rId7"/>
    <sheet name="軸j至k的限界偏差" sheetId="8" r:id="rId8"/>
    <sheet name="軸m至n的限界偏差" sheetId="9" r:id="rId9"/>
    <sheet name="軸p的限界偏差" sheetId="10" r:id="rId10"/>
    <sheet name="軸r的限界偏差" sheetId="11" r:id="rId11"/>
    <sheet name="軸s的限界偏差" sheetId="12" r:id="rId12"/>
    <sheet name="軸t至u的限界偏差" sheetId="13" r:id="rId13"/>
    <sheet name="軸v至y的限界偏差" sheetId="14" r:id="rId14"/>
    <sheet name="軸z至za的限界偏差" sheetId="15" r:id="rId15"/>
    <sheet name="軸zb至zc的限界偏差" sheetId="16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4" i="10" l="1"/>
  <c r="I44" i="10"/>
  <c r="H44" i="10"/>
  <c r="G44" i="10"/>
  <c r="F44" i="10"/>
  <c r="E44" i="10"/>
  <c r="D44" i="10"/>
  <c r="C44" i="10"/>
  <c r="J42" i="10"/>
  <c r="I42" i="10"/>
  <c r="H42" i="10"/>
  <c r="G42" i="10"/>
  <c r="F42" i="10"/>
  <c r="E42" i="10"/>
  <c r="D42" i="10"/>
  <c r="C42" i="10"/>
  <c r="J40" i="10"/>
  <c r="I40" i="10"/>
  <c r="H40" i="10"/>
  <c r="G40" i="10"/>
  <c r="F40" i="10"/>
  <c r="E40" i="10"/>
  <c r="D40" i="10"/>
  <c r="C40" i="10"/>
  <c r="J38" i="10"/>
  <c r="I38" i="10"/>
  <c r="H38" i="10"/>
  <c r="G38" i="10"/>
  <c r="F38" i="10"/>
  <c r="E38" i="10"/>
  <c r="D38" i="10"/>
  <c r="C38" i="10"/>
  <c r="J36" i="10"/>
  <c r="I36" i="10"/>
  <c r="H36" i="10"/>
  <c r="G36" i="10"/>
  <c r="F36" i="10"/>
  <c r="E36" i="10"/>
  <c r="D36" i="10"/>
  <c r="C36" i="10"/>
  <c r="J34" i="10"/>
  <c r="I34" i="10"/>
  <c r="H34" i="10"/>
  <c r="G34" i="10"/>
  <c r="F34" i="10"/>
  <c r="E34" i="10"/>
  <c r="D34" i="10"/>
  <c r="C34" i="10"/>
  <c r="J32" i="10"/>
  <c r="I32" i="10"/>
  <c r="H32" i="10"/>
  <c r="G32" i="10"/>
  <c r="F32" i="10"/>
  <c r="E32" i="10"/>
  <c r="D32" i="10"/>
  <c r="C32" i="10"/>
  <c r="J30" i="10"/>
  <c r="I30" i="10"/>
  <c r="H30" i="10"/>
  <c r="G30" i="10"/>
  <c r="F30" i="10"/>
  <c r="E30" i="10"/>
  <c r="D30" i="10"/>
  <c r="C30" i="10"/>
  <c r="J28" i="10"/>
  <c r="I28" i="10"/>
  <c r="H28" i="10"/>
  <c r="G28" i="10"/>
  <c r="F28" i="10"/>
  <c r="E28" i="10"/>
  <c r="D28" i="10"/>
  <c r="C28" i="10"/>
  <c r="J26" i="10"/>
  <c r="I26" i="10"/>
  <c r="H26" i="10"/>
  <c r="G26" i="10"/>
  <c r="F26" i="10"/>
  <c r="E26" i="10"/>
  <c r="D26" i="10"/>
  <c r="C26" i="10"/>
  <c r="J24" i="10"/>
  <c r="I24" i="10"/>
  <c r="H24" i="10"/>
  <c r="G24" i="10"/>
  <c r="F24" i="10"/>
  <c r="E24" i="10"/>
  <c r="D24" i="10"/>
  <c r="C24" i="10"/>
  <c r="J22" i="10"/>
  <c r="I22" i="10"/>
  <c r="H22" i="10"/>
  <c r="G22" i="10"/>
  <c r="F22" i="10"/>
  <c r="E22" i="10"/>
  <c r="D22" i="10"/>
  <c r="C22" i="10"/>
  <c r="J20" i="10"/>
  <c r="I20" i="10"/>
  <c r="H20" i="10"/>
  <c r="G20" i="10"/>
  <c r="F20" i="10"/>
  <c r="E20" i="10"/>
  <c r="D20" i="10"/>
  <c r="C20" i="10"/>
  <c r="J18" i="10"/>
  <c r="I18" i="10"/>
  <c r="H18" i="10"/>
  <c r="G18" i="10"/>
  <c r="F18" i="10"/>
  <c r="E18" i="10"/>
  <c r="D18" i="10"/>
  <c r="C18" i="10"/>
  <c r="J16" i="10"/>
  <c r="I16" i="10"/>
  <c r="H16" i="10"/>
  <c r="G16" i="10"/>
  <c r="F16" i="10"/>
  <c r="E16" i="10"/>
  <c r="D16" i="10"/>
  <c r="C16" i="10"/>
  <c r="R44" i="9"/>
  <c r="Q44" i="9"/>
  <c r="P44" i="9"/>
  <c r="O44" i="9"/>
  <c r="N44" i="9"/>
  <c r="M44" i="9"/>
  <c r="L44" i="9"/>
  <c r="K44" i="9"/>
  <c r="J44" i="9"/>
  <c r="I44" i="9"/>
  <c r="H44" i="9"/>
  <c r="G44" i="9"/>
  <c r="F44" i="9"/>
  <c r="E44" i="9"/>
  <c r="D44" i="9"/>
  <c r="C44" i="9"/>
  <c r="R42" i="9"/>
  <c r="Q42" i="9"/>
  <c r="P42" i="9"/>
  <c r="O42" i="9"/>
  <c r="N42" i="9"/>
  <c r="M42" i="9"/>
  <c r="L42" i="9"/>
  <c r="K42" i="9"/>
  <c r="J42" i="9"/>
  <c r="I42" i="9"/>
  <c r="H42" i="9"/>
  <c r="G42" i="9"/>
  <c r="F42" i="9"/>
  <c r="E42" i="9"/>
  <c r="D42" i="9"/>
  <c r="C42" i="9"/>
  <c r="R40" i="9"/>
  <c r="Q40" i="9"/>
  <c r="P40" i="9"/>
  <c r="O40" i="9"/>
  <c r="N40" i="9"/>
  <c r="M40" i="9"/>
  <c r="L40" i="9"/>
  <c r="K40" i="9"/>
  <c r="J40" i="9"/>
  <c r="I40" i="9"/>
  <c r="H40" i="9"/>
  <c r="G40" i="9"/>
  <c r="F40" i="9"/>
  <c r="E40" i="9"/>
  <c r="D40" i="9"/>
  <c r="C40" i="9"/>
  <c r="R38" i="9"/>
  <c r="Q38" i="9"/>
  <c r="P38" i="9"/>
  <c r="O38" i="9"/>
  <c r="N38" i="9"/>
  <c r="M38" i="9"/>
  <c r="L38" i="9"/>
  <c r="K38" i="9"/>
  <c r="J38" i="9"/>
  <c r="I38" i="9"/>
  <c r="H38" i="9"/>
  <c r="G38" i="9"/>
  <c r="F38" i="9"/>
  <c r="E38" i="9"/>
  <c r="D38" i="9"/>
  <c r="C38" i="9"/>
  <c r="R36" i="9"/>
  <c r="Q36" i="9"/>
  <c r="P36" i="9"/>
  <c r="O36" i="9"/>
  <c r="N36" i="9"/>
  <c r="M36" i="9"/>
  <c r="L36" i="9"/>
  <c r="K36" i="9"/>
  <c r="J36" i="9"/>
  <c r="I36" i="9"/>
  <c r="H36" i="9"/>
  <c r="G36" i="9"/>
  <c r="F36" i="9"/>
  <c r="E36" i="9"/>
  <c r="D36" i="9"/>
  <c r="C36" i="9"/>
  <c r="R34" i="9"/>
  <c r="Q34" i="9"/>
  <c r="P34" i="9"/>
  <c r="O34" i="9"/>
  <c r="N34" i="9"/>
  <c r="M34" i="9"/>
  <c r="L34" i="9"/>
  <c r="K34" i="9"/>
  <c r="J34" i="9"/>
  <c r="I34" i="9"/>
  <c r="H34" i="9"/>
  <c r="G34" i="9"/>
  <c r="F34" i="9"/>
  <c r="E34" i="9"/>
  <c r="D34" i="9"/>
  <c r="C34" i="9"/>
  <c r="R32" i="9"/>
  <c r="Q32" i="9"/>
  <c r="P32" i="9"/>
  <c r="O32" i="9"/>
  <c r="N32" i="9"/>
  <c r="M32" i="9"/>
  <c r="L32" i="9"/>
  <c r="K32" i="9"/>
  <c r="J32" i="9"/>
  <c r="I32" i="9"/>
  <c r="H32" i="9"/>
  <c r="G32" i="9"/>
  <c r="F32" i="9"/>
  <c r="E32" i="9"/>
  <c r="D32" i="9"/>
  <c r="C32" i="9"/>
  <c r="R30" i="9"/>
  <c r="Q30" i="9"/>
  <c r="P30" i="9"/>
  <c r="O30" i="9"/>
  <c r="N30" i="9"/>
  <c r="M30" i="9"/>
  <c r="L30" i="9"/>
  <c r="K30" i="9"/>
  <c r="J30" i="9"/>
  <c r="I30" i="9"/>
  <c r="H30" i="9"/>
  <c r="G30" i="9"/>
  <c r="F30" i="9"/>
  <c r="E30" i="9"/>
  <c r="D30" i="9"/>
  <c r="C30" i="9"/>
  <c r="R28" i="9"/>
  <c r="Q28" i="9"/>
  <c r="P28" i="9"/>
  <c r="O28" i="9"/>
  <c r="N28" i="9"/>
  <c r="M28" i="9"/>
  <c r="L28" i="9"/>
  <c r="K28" i="9"/>
  <c r="J28" i="9"/>
  <c r="I28" i="9"/>
  <c r="H28" i="9"/>
  <c r="G28" i="9"/>
  <c r="F28" i="9"/>
  <c r="E28" i="9"/>
  <c r="D28" i="9"/>
  <c r="C28" i="9"/>
  <c r="R26" i="9"/>
  <c r="Q26" i="9"/>
  <c r="P26" i="9"/>
  <c r="O26" i="9"/>
  <c r="N26" i="9"/>
  <c r="M26" i="9"/>
  <c r="L26" i="9"/>
  <c r="K26" i="9"/>
  <c r="J26" i="9"/>
  <c r="I26" i="9"/>
  <c r="H26" i="9"/>
  <c r="G26" i="9"/>
  <c r="F26" i="9"/>
  <c r="E26" i="9"/>
  <c r="D26" i="9"/>
  <c r="C26" i="9"/>
  <c r="R24" i="9"/>
  <c r="Q24" i="9"/>
  <c r="P24" i="9"/>
  <c r="O24" i="9"/>
  <c r="N24" i="9"/>
  <c r="M24" i="9"/>
  <c r="L24" i="9"/>
  <c r="K24" i="9"/>
  <c r="J24" i="9"/>
  <c r="I24" i="9"/>
  <c r="H24" i="9"/>
  <c r="G24" i="9"/>
  <c r="F24" i="9"/>
  <c r="E24" i="9"/>
  <c r="D24" i="9"/>
  <c r="C24" i="9"/>
  <c r="R22" i="9"/>
  <c r="Q22" i="9"/>
  <c r="P22" i="9"/>
  <c r="O22" i="9"/>
  <c r="N22" i="9"/>
  <c r="M22" i="9"/>
  <c r="L22" i="9"/>
  <c r="K22" i="9"/>
  <c r="J22" i="9"/>
  <c r="I22" i="9"/>
  <c r="H22" i="9"/>
  <c r="G22" i="9"/>
  <c r="F22" i="9"/>
  <c r="E22" i="9"/>
  <c r="D22" i="9"/>
  <c r="C22" i="9"/>
  <c r="R20" i="9"/>
  <c r="Q20" i="9"/>
  <c r="P20" i="9"/>
  <c r="O20" i="9"/>
  <c r="N20" i="9"/>
  <c r="M20" i="9"/>
  <c r="L20" i="9"/>
  <c r="K20" i="9"/>
  <c r="J20" i="9"/>
  <c r="I20" i="9"/>
  <c r="H20" i="9"/>
  <c r="G20" i="9"/>
  <c r="F20" i="9"/>
  <c r="E20" i="9"/>
  <c r="D20" i="9"/>
  <c r="C20" i="9"/>
  <c r="R18" i="9"/>
  <c r="Q18" i="9"/>
  <c r="P18" i="9"/>
  <c r="O18" i="9"/>
  <c r="N18" i="9"/>
  <c r="M18" i="9"/>
  <c r="L18" i="9"/>
  <c r="K18" i="9"/>
  <c r="J18" i="9"/>
  <c r="I18" i="9"/>
  <c r="H18" i="9"/>
  <c r="G18" i="9"/>
  <c r="F18" i="9"/>
  <c r="E18" i="9"/>
  <c r="D18" i="9"/>
  <c r="C18" i="9"/>
  <c r="R16" i="9"/>
  <c r="Q16" i="9"/>
  <c r="P16" i="9"/>
  <c r="O16" i="9"/>
  <c r="N16" i="9"/>
  <c r="M16" i="9"/>
  <c r="L16" i="9"/>
  <c r="K16" i="9"/>
  <c r="J16" i="9"/>
  <c r="I16" i="9"/>
  <c r="H16" i="9"/>
  <c r="G16" i="9"/>
  <c r="F16" i="9"/>
  <c r="E16" i="9"/>
  <c r="D16" i="9"/>
  <c r="C16" i="9"/>
  <c r="J14" i="9"/>
  <c r="I14" i="9"/>
  <c r="H14" i="9"/>
  <c r="G14" i="9"/>
  <c r="F14" i="9"/>
  <c r="E14" i="9"/>
  <c r="D14" i="9"/>
  <c r="C14" i="9"/>
  <c r="R14" i="9"/>
  <c r="Q14" i="9"/>
  <c r="P14" i="9"/>
  <c r="O14" i="9"/>
  <c r="N14" i="9"/>
  <c r="M14" i="9"/>
  <c r="L14" i="9"/>
  <c r="K14" i="9"/>
  <c r="R12" i="9"/>
  <c r="Q12" i="9"/>
  <c r="P12" i="9"/>
  <c r="O12" i="9"/>
  <c r="N12" i="9"/>
  <c r="M12" i="9"/>
  <c r="L12" i="9"/>
  <c r="K12" i="9"/>
  <c r="J12" i="9"/>
  <c r="I12" i="9"/>
  <c r="H12" i="9"/>
  <c r="G12" i="9"/>
  <c r="F12" i="9"/>
  <c r="E12" i="9"/>
  <c r="D12" i="9"/>
  <c r="C12" i="9"/>
  <c r="J10" i="9"/>
  <c r="I10" i="9"/>
  <c r="H10" i="9"/>
  <c r="G10" i="9"/>
  <c r="F10" i="9"/>
  <c r="E10" i="9"/>
  <c r="D10" i="9"/>
  <c r="C10" i="9"/>
  <c r="R10" i="9"/>
  <c r="Q10" i="9"/>
  <c r="P10" i="9"/>
  <c r="O10" i="9"/>
  <c r="N10" i="9"/>
  <c r="M10" i="9"/>
  <c r="L10" i="9"/>
  <c r="K10" i="9"/>
  <c r="R4" i="9"/>
  <c r="Q4" i="9"/>
  <c r="P4" i="9"/>
  <c r="O4" i="9"/>
  <c r="N4" i="9"/>
  <c r="M4" i="9"/>
  <c r="L4" i="9"/>
  <c r="K4" i="9"/>
  <c r="R6" i="9"/>
  <c r="Q6" i="9"/>
  <c r="P6" i="9"/>
  <c r="O6" i="9"/>
  <c r="N6" i="9"/>
  <c r="M6" i="9"/>
  <c r="L6" i="9"/>
  <c r="K6" i="9"/>
  <c r="R8" i="9"/>
  <c r="Q8" i="9"/>
  <c r="P8" i="9"/>
  <c r="O8" i="9"/>
  <c r="N8" i="9"/>
  <c r="M8" i="9"/>
  <c r="L8" i="9"/>
  <c r="K8" i="9"/>
  <c r="J8" i="9"/>
  <c r="I8" i="9"/>
  <c r="H8" i="9"/>
  <c r="G8" i="9"/>
  <c r="F8" i="9"/>
  <c r="E8" i="9"/>
  <c r="D8" i="9"/>
  <c r="C8" i="9"/>
  <c r="J6" i="9"/>
  <c r="I6" i="9"/>
  <c r="H6" i="9"/>
  <c r="G6" i="9"/>
  <c r="F6" i="9"/>
  <c r="E6" i="9"/>
  <c r="D6" i="9"/>
  <c r="C6" i="9"/>
  <c r="J4" i="9"/>
  <c r="I4" i="9"/>
  <c r="H4" i="9"/>
  <c r="G4" i="9"/>
  <c r="F4" i="9"/>
  <c r="E4" i="9"/>
  <c r="D4" i="9"/>
  <c r="C4" i="9"/>
  <c r="I44" i="8"/>
  <c r="H44" i="8"/>
  <c r="G44" i="8"/>
  <c r="I42" i="8"/>
  <c r="H42" i="8"/>
  <c r="G42" i="8"/>
  <c r="I40" i="8"/>
  <c r="H40" i="8"/>
  <c r="G40" i="8"/>
  <c r="I38" i="8"/>
  <c r="H38" i="8"/>
  <c r="G38" i="8"/>
  <c r="I36" i="8"/>
  <c r="H36" i="8"/>
  <c r="G36" i="8"/>
  <c r="I34" i="8"/>
  <c r="H34" i="8"/>
  <c r="G34" i="8"/>
  <c r="I32" i="8"/>
  <c r="H32" i="8"/>
  <c r="G32" i="8"/>
  <c r="I30" i="8"/>
  <c r="H30" i="8"/>
  <c r="G30" i="8"/>
  <c r="G20" i="8"/>
  <c r="J45" i="5"/>
  <c r="I45" i="5"/>
  <c r="H45" i="5"/>
  <c r="G45" i="5"/>
  <c r="F45" i="5"/>
  <c r="E45" i="5"/>
  <c r="D45" i="5"/>
  <c r="C45" i="5"/>
  <c r="J43" i="5"/>
  <c r="I43" i="5"/>
  <c r="H43" i="5"/>
  <c r="G43" i="5"/>
  <c r="F43" i="5"/>
  <c r="E43" i="5"/>
  <c r="D43" i="5"/>
  <c r="C43" i="5"/>
  <c r="J41" i="5"/>
  <c r="I41" i="5"/>
  <c r="H41" i="5"/>
  <c r="G41" i="5"/>
  <c r="F41" i="5"/>
  <c r="E41" i="5"/>
  <c r="D41" i="5"/>
  <c r="C41" i="5"/>
  <c r="J39" i="5"/>
  <c r="I39" i="5"/>
  <c r="H39" i="5"/>
  <c r="G39" i="5"/>
  <c r="F39" i="5"/>
  <c r="E39" i="5"/>
  <c r="D39" i="5"/>
  <c r="C39" i="5"/>
  <c r="J37" i="5"/>
  <c r="I37" i="5"/>
  <c r="H37" i="5"/>
  <c r="G37" i="5"/>
  <c r="F37" i="5"/>
  <c r="E37" i="5"/>
  <c r="D37" i="5"/>
  <c r="C37" i="5"/>
  <c r="J35" i="5"/>
  <c r="I35" i="5"/>
  <c r="H35" i="5"/>
  <c r="G35" i="5"/>
  <c r="F35" i="5"/>
  <c r="E35" i="5"/>
  <c r="D35" i="5"/>
  <c r="C35" i="5"/>
  <c r="J33" i="5"/>
  <c r="I33" i="5"/>
  <c r="H33" i="5"/>
  <c r="G33" i="5"/>
  <c r="F33" i="5"/>
  <c r="E33" i="5"/>
  <c r="D33" i="5"/>
  <c r="C33" i="5"/>
  <c r="J31" i="5"/>
  <c r="I31" i="5"/>
  <c r="H31" i="5"/>
  <c r="G31" i="5"/>
  <c r="F31" i="5"/>
  <c r="E31" i="5"/>
  <c r="D31" i="5"/>
  <c r="C31" i="5"/>
  <c r="J29" i="5"/>
  <c r="I29" i="5"/>
  <c r="H29" i="5"/>
  <c r="G29" i="5"/>
  <c r="F29" i="5"/>
  <c r="E29" i="5"/>
  <c r="D29" i="5"/>
  <c r="C29" i="5"/>
  <c r="J27" i="5"/>
  <c r="I27" i="5"/>
  <c r="H27" i="5"/>
  <c r="G27" i="5"/>
  <c r="F27" i="5"/>
  <c r="E27" i="5"/>
  <c r="D27" i="5"/>
  <c r="C27" i="5"/>
  <c r="J25" i="5"/>
  <c r="I25" i="5"/>
  <c r="H25" i="5"/>
  <c r="G25" i="5"/>
  <c r="F25" i="5"/>
  <c r="E25" i="5"/>
  <c r="D25" i="5"/>
  <c r="C25" i="5"/>
  <c r="J23" i="5"/>
  <c r="I23" i="5"/>
  <c r="H23" i="5"/>
  <c r="G23" i="5"/>
  <c r="F23" i="5"/>
  <c r="E23" i="5"/>
  <c r="D23" i="5"/>
  <c r="C23" i="5"/>
  <c r="J21" i="5"/>
  <c r="I21" i="5"/>
  <c r="H21" i="5"/>
  <c r="G21" i="5"/>
  <c r="F21" i="5"/>
  <c r="E21" i="5"/>
  <c r="D21" i="5"/>
  <c r="C21" i="5"/>
  <c r="J19" i="5"/>
  <c r="I19" i="5"/>
  <c r="H19" i="5"/>
  <c r="G19" i="5"/>
  <c r="F19" i="5"/>
  <c r="E19" i="5"/>
  <c r="D19" i="5"/>
  <c r="C19" i="5"/>
  <c r="J17" i="5"/>
  <c r="I17" i="5"/>
  <c r="H17" i="5"/>
  <c r="G17" i="5"/>
  <c r="F17" i="5"/>
  <c r="E17" i="5"/>
  <c r="D17" i="5"/>
  <c r="C17" i="5"/>
  <c r="R15" i="4"/>
  <c r="Q15" i="4"/>
  <c r="P15" i="4"/>
  <c r="O15" i="4"/>
  <c r="N15" i="4"/>
  <c r="M15" i="4"/>
  <c r="L15" i="4"/>
  <c r="K15" i="4"/>
  <c r="R13" i="4"/>
  <c r="Q13" i="4"/>
  <c r="P13" i="4"/>
  <c r="O13" i="4"/>
  <c r="N13" i="4"/>
  <c r="M13" i="4"/>
  <c r="L13" i="4"/>
  <c r="K13" i="4"/>
  <c r="R11" i="4"/>
  <c r="Q11" i="4"/>
  <c r="P11" i="4"/>
  <c r="O11" i="4"/>
  <c r="N11" i="4"/>
  <c r="M11" i="4"/>
  <c r="L11" i="4"/>
  <c r="K11" i="4"/>
  <c r="J45" i="4"/>
  <c r="J43" i="4"/>
  <c r="J41" i="4"/>
  <c r="J39" i="4"/>
  <c r="J37" i="4"/>
  <c r="J35" i="4"/>
  <c r="J33" i="4"/>
  <c r="J31" i="4"/>
  <c r="J29" i="4"/>
  <c r="J27" i="4"/>
  <c r="J25" i="4"/>
  <c r="J23" i="4"/>
  <c r="J21" i="4"/>
  <c r="J19" i="4"/>
  <c r="J17" i="4"/>
  <c r="E45" i="4"/>
  <c r="D45" i="4"/>
  <c r="C45" i="4"/>
  <c r="E43" i="4"/>
  <c r="D43" i="4"/>
  <c r="C43" i="4"/>
  <c r="E41" i="4"/>
  <c r="D41" i="4"/>
  <c r="C41" i="4"/>
  <c r="E39" i="4"/>
  <c r="D39" i="4"/>
  <c r="C39" i="4"/>
  <c r="E37" i="4"/>
  <c r="D37" i="4"/>
  <c r="C37" i="4"/>
  <c r="E35" i="4"/>
  <c r="D35" i="4"/>
  <c r="C35" i="4"/>
  <c r="E33" i="4"/>
  <c r="D33" i="4"/>
  <c r="C33" i="4"/>
  <c r="E31" i="4"/>
  <c r="D31" i="4"/>
  <c r="C31" i="4"/>
  <c r="C29" i="4"/>
  <c r="C27" i="4"/>
  <c r="C25" i="4"/>
  <c r="C23" i="4"/>
  <c r="C21" i="4"/>
  <c r="C19" i="4"/>
  <c r="C17" i="4"/>
  <c r="P15" i="3"/>
  <c r="O15" i="3"/>
  <c r="N15" i="3"/>
  <c r="M15" i="3"/>
  <c r="L15" i="3"/>
  <c r="K15" i="3"/>
  <c r="J15" i="3"/>
  <c r="I15" i="3"/>
  <c r="P13" i="3"/>
  <c r="O13" i="3"/>
  <c r="N13" i="3"/>
  <c r="M13" i="3"/>
  <c r="L13" i="3"/>
  <c r="K13" i="3"/>
  <c r="J13" i="3"/>
  <c r="I13" i="3"/>
  <c r="P11" i="3"/>
  <c r="O11" i="3"/>
  <c r="N11" i="3"/>
  <c r="M11" i="3"/>
  <c r="L11" i="3"/>
  <c r="K11" i="3"/>
  <c r="J11" i="3"/>
  <c r="I11" i="3"/>
  <c r="T46" i="7"/>
  <c r="S46" i="7"/>
  <c r="R46" i="7"/>
  <c r="Q46" i="7"/>
  <c r="P46" i="7"/>
  <c r="O46" i="7"/>
  <c r="N46" i="7"/>
  <c r="M46" i="7"/>
  <c r="L46" i="7"/>
  <c r="K46" i="7"/>
  <c r="J46" i="7"/>
  <c r="I46" i="7"/>
  <c r="H46" i="7"/>
  <c r="G46" i="7"/>
  <c r="F46" i="7"/>
  <c r="E46" i="7"/>
  <c r="D46" i="7"/>
  <c r="C46" i="7"/>
  <c r="T45" i="7"/>
  <c r="S45" i="7"/>
  <c r="R45" i="7"/>
  <c r="Q45" i="7"/>
  <c r="P45" i="7"/>
  <c r="O45" i="7"/>
  <c r="N45" i="7"/>
  <c r="M45" i="7"/>
  <c r="L45" i="7"/>
  <c r="K45" i="7"/>
  <c r="J45" i="7"/>
  <c r="I45" i="7"/>
  <c r="H45" i="7"/>
  <c r="G45" i="7"/>
  <c r="F45" i="7"/>
  <c r="E45" i="7"/>
  <c r="D45" i="7"/>
  <c r="C45" i="7"/>
  <c r="T44" i="7"/>
  <c r="S44" i="7"/>
  <c r="R44" i="7"/>
  <c r="Q44" i="7"/>
  <c r="P44" i="7"/>
  <c r="O44" i="7"/>
  <c r="N44" i="7"/>
  <c r="M44" i="7"/>
  <c r="L44" i="7"/>
  <c r="K44" i="7"/>
  <c r="J44" i="7"/>
  <c r="I44" i="7"/>
  <c r="H44" i="7"/>
  <c r="G44" i="7"/>
  <c r="F44" i="7"/>
  <c r="E44" i="7"/>
  <c r="D44" i="7"/>
  <c r="C44" i="7"/>
  <c r="T43" i="7"/>
  <c r="S43" i="7"/>
  <c r="R43" i="7"/>
  <c r="Q43" i="7"/>
  <c r="P43" i="7"/>
  <c r="O43" i="7"/>
  <c r="N43" i="7"/>
  <c r="M43" i="7"/>
  <c r="L43" i="7"/>
  <c r="K43" i="7"/>
  <c r="J43" i="7"/>
  <c r="I43" i="7"/>
  <c r="H43" i="7"/>
  <c r="G43" i="7"/>
  <c r="F43" i="7"/>
  <c r="E43" i="7"/>
  <c r="D43" i="7"/>
  <c r="C43" i="7"/>
  <c r="T42" i="7"/>
  <c r="S42" i="7"/>
  <c r="R42" i="7"/>
  <c r="Q42" i="7"/>
  <c r="P42" i="7"/>
  <c r="O42" i="7"/>
  <c r="N42" i="7"/>
  <c r="M42" i="7"/>
  <c r="L42" i="7"/>
  <c r="K42" i="7"/>
  <c r="J42" i="7"/>
  <c r="I42" i="7"/>
  <c r="H42" i="7"/>
  <c r="G42" i="7"/>
  <c r="F42" i="7"/>
  <c r="E42" i="7"/>
  <c r="D42" i="7"/>
  <c r="C42" i="7"/>
  <c r="T41" i="7"/>
  <c r="S41" i="7"/>
  <c r="R41" i="7"/>
  <c r="Q41" i="7"/>
  <c r="P41" i="7"/>
  <c r="O41" i="7"/>
  <c r="N41" i="7"/>
  <c r="M41" i="7"/>
  <c r="L41" i="7"/>
  <c r="K41" i="7"/>
  <c r="J41" i="7"/>
  <c r="I41" i="7"/>
  <c r="H41" i="7"/>
  <c r="G41" i="7"/>
  <c r="F41" i="7"/>
  <c r="E41" i="7"/>
  <c r="D41" i="7"/>
  <c r="C41" i="7"/>
  <c r="T40" i="7"/>
  <c r="S40" i="7"/>
  <c r="R40" i="7"/>
  <c r="Q40" i="7"/>
  <c r="P40" i="7"/>
  <c r="O40" i="7"/>
  <c r="N40" i="7"/>
  <c r="M40" i="7"/>
  <c r="L40" i="7"/>
  <c r="K40" i="7"/>
  <c r="J40" i="7"/>
  <c r="I40" i="7"/>
  <c r="H40" i="7"/>
  <c r="G40" i="7"/>
  <c r="F40" i="7"/>
  <c r="E40" i="7"/>
  <c r="D40" i="7"/>
  <c r="C40" i="7"/>
  <c r="T39" i="7"/>
  <c r="S39" i="7"/>
  <c r="R39" i="7"/>
  <c r="Q39" i="7"/>
  <c r="P39" i="7"/>
  <c r="O39" i="7"/>
  <c r="N39" i="7"/>
  <c r="M39" i="7"/>
  <c r="L39" i="7"/>
  <c r="K39" i="7"/>
  <c r="J39" i="7"/>
  <c r="I39" i="7"/>
  <c r="H39" i="7"/>
  <c r="G39" i="7"/>
  <c r="F39" i="7"/>
  <c r="E39" i="7"/>
  <c r="D39" i="7"/>
  <c r="C39" i="7"/>
  <c r="T38" i="7"/>
  <c r="S38" i="7"/>
  <c r="R38" i="7"/>
  <c r="Q38" i="7"/>
  <c r="P38" i="7"/>
  <c r="O38" i="7"/>
  <c r="N38" i="7"/>
  <c r="M38" i="7"/>
  <c r="L38" i="7"/>
  <c r="K38" i="7"/>
  <c r="J38" i="7"/>
  <c r="I38" i="7"/>
  <c r="H38" i="7"/>
  <c r="G38" i="7"/>
  <c r="F38" i="7"/>
  <c r="E38" i="7"/>
  <c r="D38" i="7"/>
  <c r="C38" i="7"/>
  <c r="T37" i="7"/>
  <c r="S37" i="7"/>
  <c r="R37" i="7"/>
  <c r="Q37" i="7"/>
  <c r="P37" i="7"/>
  <c r="O37" i="7"/>
  <c r="N37" i="7"/>
  <c r="M37" i="7"/>
  <c r="L37" i="7"/>
  <c r="K37" i="7"/>
  <c r="J37" i="7"/>
  <c r="I37" i="7"/>
  <c r="H37" i="7"/>
  <c r="G37" i="7"/>
  <c r="F37" i="7"/>
  <c r="E37" i="7"/>
  <c r="D37" i="7"/>
  <c r="C37" i="7"/>
  <c r="T36" i="7"/>
  <c r="S36" i="7"/>
  <c r="R36" i="7"/>
  <c r="Q36" i="7"/>
  <c r="P36" i="7"/>
  <c r="O36" i="7"/>
  <c r="N36" i="7"/>
  <c r="M36" i="7"/>
  <c r="L36" i="7"/>
  <c r="K36" i="7"/>
  <c r="J36" i="7"/>
  <c r="I36" i="7"/>
  <c r="H36" i="7"/>
  <c r="G36" i="7"/>
  <c r="F36" i="7"/>
  <c r="E36" i="7"/>
  <c r="D36" i="7"/>
  <c r="C36" i="7"/>
  <c r="T35" i="7"/>
  <c r="S35" i="7"/>
  <c r="R35" i="7"/>
  <c r="Q35" i="7"/>
  <c r="P35" i="7"/>
  <c r="O35" i="7"/>
  <c r="N35" i="7"/>
  <c r="M35" i="7"/>
  <c r="L35" i="7"/>
  <c r="K35" i="7"/>
  <c r="J35" i="7"/>
  <c r="I35" i="7"/>
  <c r="H35" i="7"/>
  <c r="G35" i="7"/>
  <c r="F35" i="7"/>
  <c r="E35" i="7"/>
  <c r="D35" i="7"/>
  <c r="C35" i="7"/>
  <c r="T34" i="7"/>
  <c r="S34" i="7"/>
  <c r="R34" i="7"/>
  <c r="Q34" i="7"/>
  <c r="P34" i="7"/>
  <c r="O34" i="7"/>
  <c r="N34" i="7"/>
  <c r="M34" i="7"/>
  <c r="L34" i="7"/>
  <c r="K34" i="7"/>
  <c r="J34" i="7"/>
  <c r="I34" i="7"/>
  <c r="H34" i="7"/>
  <c r="G34" i="7"/>
  <c r="F34" i="7"/>
  <c r="E34" i="7"/>
  <c r="D34" i="7"/>
  <c r="C34" i="7"/>
  <c r="T33" i="7"/>
  <c r="S33" i="7"/>
  <c r="R33" i="7"/>
  <c r="Q33" i="7"/>
  <c r="P33" i="7"/>
  <c r="O33" i="7"/>
  <c r="N33" i="7"/>
  <c r="M33" i="7"/>
  <c r="L33" i="7"/>
  <c r="K33" i="7"/>
  <c r="J33" i="7"/>
  <c r="I33" i="7"/>
  <c r="H33" i="7"/>
  <c r="G33" i="7"/>
  <c r="F33" i="7"/>
  <c r="E33" i="7"/>
  <c r="D33" i="7"/>
  <c r="C33" i="7"/>
  <c r="T32" i="7"/>
  <c r="S32" i="7"/>
  <c r="R32" i="7"/>
  <c r="Q32" i="7"/>
  <c r="P32" i="7"/>
  <c r="O32" i="7"/>
  <c r="N32" i="7"/>
  <c r="M32" i="7"/>
  <c r="L32" i="7"/>
  <c r="K32" i="7"/>
  <c r="J32" i="7"/>
  <c r="I32" i="7"/>
  <c r="H32" i="7"/>
  <c r="G32" i="7"/>
  <c r="F32" i="7"/>
  <c r="E32" i="7"/>
  <c r="D32" i="7"/>
  <c r="C32" i="7"/>
  <c r="T31" i="7"/>
  <c r="S31" i="7"/>
  <c r="R31" i="7"/>
  <c r="Q31" i="7"/>
  <c r="P31" i="7"/>
  <c r="O31" i="7"/>
  <c r="N31" i="7"/>
  <c r="M31" i="7"/>
  <c r="L31" i="7"/>
  <c r="K31" i="7"/>
  <c r="J31" i="7"/>
  <c r="I31" i="7"/>
  <c r="H31" i="7"/>
  <c r="G31" i="7"/>
  <c r="F31" i="7"/>
  <c r="E31" i="7"/>
  <c r="D31" i="7"/>
  <c r="C31" i="7"/>
  <c r="T30" i="7"/>
  <c r="S30" i="7"/>
  <c r="R30" i="7"/>
  <c r="Q30" i="7"/>
  <c r="P30" i="7"/>
  <c r="O30" i="7"/>
  <c r="N30" i="7"/>
  <c r="M30" i="7"/>
  <c r="L30" i="7"/>
  <c r="K30" i="7"/>
  <c r="J30" i="7"/>
  <c r="I30" i="7"/>
  <c r="H30" i="7"/>
  <c r="G30" i="7"/>
  <c r="F30" i="7"/>
  <c r="E30" i="7"/>
  <c r="D30" i="7"/>
  <c r="C30" i="7"/>
  <c r="T29" i="7"/>
  <c r="S29" i="7"/>
  <c r="R29" i="7"/>
  <c r="Q29" i="7"/>
  <c r="P29" i="7"/>
  <c r="O29" i="7"/>
  <c r="N29" i="7"/>
  <c r="M29" i="7"/>
  <c r="L29" i="7"/>
  <c r="K29" i="7"/>
  <c r="J29" i="7"/>
  <c r="I29" i="7"/>
  <c r="H29" i="7"/>
  <c r="G29" i="7"/>
  <c r="F29" i="7"/>
  <c r="E29" i="7"/>
  <c r="D29" i="7"/>
  <c r="C29" i="7"/>
  <c r="T28" i="7"/>
  <c r="S28" i="7"/>
  <c r="R28" i="7"/>
  <c r="Q28" i="7"/>
  <c r="P28" i="7"/>
  <c r="O28" i="7"/>
  <c r="N28" i="7"/>
  <c r="M28" i="7"/>
  <c r="L28" i="7"/>
  <c r="K28" i="7"/>
  <c r="J28" i="7"/>
  <c r="I28" i="7"/>
  <c r="H28" i="7"/>
  <c r="G28" i="7"/>
  <c r="F28" i="7"/>
  <c r="E28" i="7"/>
  <c r="D28" i="7"/>
  <c r="C28" i="7"/>
  <c r="T27" i="7"/>
  <c r="S27" i="7"/>
  <c r="R27" i="7"/>
  <c r="Q27" i="7"/>
  <c r="P27" i="7"/>
  <c r="O27" i="7"/>
  <c r="N27" i="7"/>
  <c r="M27" i="7"/>
  <c r="L27" i="7"/>
  <c r="K27" i="7"/>
  <c r="J27" i="7"/>
  <c r="I27" i="7"/>
  <c r="H27" i="7"/>
  <c r="G27" i="7"/>
  <c r="F27" i="7"/>
  <c r="E27" i="7"/>
  <c r="D27" i="7"/>
  <c r="C27" i="7"/>
  <c r="T26" i="7"/>
  <c r="S26" i="7"/>
  <c r="R26" i="7"/>
  <c r="Q26" i="7"/>
  <c r="P26" i="7"/>
  <c r="O26" i="7"/>
  <c r="N26" i="7"/>
  <c r="M26" i="7"/>
  <c r="L26" i="7"/>
  <c r="K26" i="7"/>
  <c r="J26" i="7"/>
  <c r="I26" i="7"/>
  <c r="H26" i="7"/>
  <c r="G26" i="7"/>
  <c r="F26" i="7"/>
  <c r="E26" i="7"/>
  <c r="D26" i="7"/>
  <c r="C26" i="7"/>
  <c r="T25" i="7"/>
  <c r="S25" i="7"/>
  <c r="R25" i="7"/>
  <c r="Q25" i="7"/>
  <c r="P25" i="7"/>
  <c r="O25" i="7"/>
  <c r="N25" i="7"/>
  <c r="M25" i="7"/>
  <c r="L25" i="7"/>
  <c r="K25" i="7"/>
  <c r="J25" i="7"/>
  <c r="I25" i="7"/>
  <c r="H25" i="7"/>
  <c r="G25" i="7"/>
  <c r="F25" i="7"/>
  <c r="E25" i="7"/>
  <c r="D25" i="7"/>
  <c r="C25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F24" i="7"/>
  <c r="E24" i="7"/>
  <c r="D24" i="7"/>
  <c r="C24" i="7"/>
  <c r="T23" i="7"/>
  <c r="S23" i="7"/>
  <c r="R23" i="7"/>
  <c r="Q23" i="7"/>
  <c r="P23" i="7"/>
  <c r="O23" i="7"/>
  <c r="N23" i="7"/>
  <c r="M23" i="7"/>
  <c r="L23" i="7"/>
  <c r="K23" i="7"/>
  <c r="J23" i="7"/>
  <c r="I23" i="7"/>
  <c r="H23" i="7"/>
  <c r="G23" i="7"/>
  <c r="F23" i="7"/>
  <c r="E23" i="7"/>
  <c r="D23" i="7"/>
  <c r="C23" i="7"/>
  <c r="T22" i="7"/>
  <c r="S22" i="7"/>
  <c r="R22" i="7"/>
  <c r="Q22" i="7"/>
  <c r="P22" i="7"/>
  <c r="O22" i="7"/>
  <c r="N22" i="7"/>
  <c r="M22" i="7"/>
  <c r="L22" i="7"/>
  <c r="K22" i="7"/>
  <c r="J22" i="7"/>
  <c r="I22" i="7"/>
  <c r="H22" i="7"/>
  <c r="G22" i="7"/>
  <c r="F22" i="7"/>
  <c r="E22" i="7"/>
  <c r="D22" i="7"/>
  <c r="C22" i="7"/>
  <c r="T21" i="7"/>
  <c r="S21" i="7"/>
  <c r="R21" i="7"/>
  <c r="Q21" i="7"/>
  <c r="P21" i="7"/>
  <c r="O21" i="7"/>
  <c r="N21" i="7"/>
  <c r="M21" i="7"/>
  <c r="L21" i="7"/>
  <c r="K21" i="7"/>
  <c r="J21" i="7"/>
  <c r="I21" i="7"/>
  <c r="H21" i="7"/>
  <c r="G21" i="7"/>
  <c r="F21" i="7"/>
  <c r="E21" i="7"/>
  <c r="D21" i="7"/>
  <c r="C21" i="7"/>
  <c r="T20" i="7"/>
  <c r="S20" i="7"/>
  <c r="R20" i="7"/>
  <c r="Q20" i="7"/>
  <c r="P20" i="7"/>
  <c r="O20" i="7"/>
  <c r="N20" i="7"/>
  <c r="M20" i="7"/>
  <c r="L20" i="7"/>
  <c r="K20" i="7"/>
  <c r="J20" i="7"/>
  <c r="I20" i="7"/>
  <c r="H20" i="7"/>
  <c r="G20" i="7"/>
  <c r="F20" i="7"/>
  <c r="E20" i="7"/>
  <c r="D20" i="7"/>
  <c r="C20" i="7"/>
  <c r="T19" i="7"/>
  <c r="S19" i="7"/>
  <c r="R19" i="7"/>
  <c r="Q19" i="7"/>
  <c r="P19" i="7"/>
  <c r="O19" i="7"/>
  <c r="N19" i="7"/>
  <c r="M19" i="7"/>
  <c r="L19" i="7"/>
  <c r="K19" i="7"/>
  <c r="J19" i="7"/>
  <c r="I19" i="7"/>
  <c r="H19" i="7"/>
  <c r="G19" i="7"/>
  <c r="F19" i="7"/>
  <c r="E19" i="7"/>
  <c r="D19" i="7"/>
  <c r="C19" i="7"/>
  <c r="T18" i="7"/>
  <c r="S18" i="7"/>
  <c r="R18" i="7"/>
  <c r="Q18" i="7"/>
  <c r="P18" i="7"/>
  <c r="O18" i="7"/>
  <c r="N18" i="7"/>
  <c r="M18" i="7"/>
  <c r="L18" i="7"/>
  <c r="K18" i="7"/>
  <c r="J18" i="7"/>
  <c r="I18" i="7"/>
  <c r="H18" i="7"/>
  <c r="G18" i="7"/>
  <c r="F18" i="7"/>
  <c r="E18" i="7"/>
  <c r="D18" i="7"/>
  <c r="C18" i="7"/>
  <c r="T17" i="7"/>
  <c r="S17" i="7"/>
  <c r="R17" i="7"/>
  <c r="Q17" i="7"/>
  <c r="P17" i="7"/>
  <c r="O17" i="7"/>
  <c r="N17" i="7"/>
  <c r="M17" i="7"/>
  <c r="L17" i="7"/>
  <c r="K17" i="7"/>
  <c r="J17" i="7"/>
  <c r="I17" i="7"/>
  <c r="H17" i="7"/>
  <c r="G17" i="7"/>
  <c r="F17" i="7"/>
  <c r="E17" i="7"/>
  <c r="D17" i="7"/>
  <c r="C17" i="7"/>
  <c r="T16" i="7"/>
  <c r="S16" i="7"/>
  <c r="R16" i="7"/>
  <c r="Q16" i="7"/>
  <c r="P16" i="7"/>
  <c r="O16" i="7"/>
  <c r="N16" i="7"/>
  <c r="M16" i="7"/>
  <c r="L16" i="7"/>
  <c r="K16" i="7"/>
  <c r="J16" i="7"/>
  <c r="I16" i="7"/>
  <c r="H16" i="7"/>
  <c r="G16" i="7"/>
  <c r="F16" i="7"/>
  <c r="E16" i="7"/>
  <c r="D16" i="7"/>
  <c r="C16" i="7"/>
  <c r="T15" i="7"/>
  <c r="S15" i="7"/>
  <c r="R15" i="7"/>
  <c r="Q15" i="7"/>
  <c r="P15" i="7"/>
  <c r="O15" i="7"/>
  <c r="N15" i="7"/>
  <c r="M15" i="7"/>
  <c r="L15" i="7"/>
  <c r="K15" i="7"/>
  <c r="J15" i="7"/>
  <c r="I15" i="7"/>
  <c r="H15" i="7"/>
  <c r="G15" i="7"/>
  <c r="F15" i="7"/>
  <c r="E15" i="7"/>
  <c r="D15" i="7"/>
  <c r="C15" i="7"/>
  <c r="T14" i="7"/>
  <c r="S14" i="7"/>
  <c r="R14" i="7"/>
  <c r="Q14" i="7"/>
  <c r="P14" i="7"/>
  <c r="O14" i="7"/>
  <c r="N14" i="7"/>
  <c r="M14" i="7"/>
  <c r="L14" i="7"/>
  <c r="K14" i="7"/>
  <c r="J14" i="7"/>
  <c r="I14" i="7"/>
  <c r="H14" i="7"/>
  <c r="G14" i="7"/>
  <c r="F14" i="7"/>
  <c r="E14" i="7"/>
  <c r="D14" i="7"/>
  <c r="C14" i="7"/>
  <c r="T13" i="7"/>
  <c r="S13" i="7"/>
  <c r="R13" i="7"/>
  <c r="Q13" i="7"/>
  <c r="P13" i="7"/>
  <c r="O13" i="7"/>
  <c r="N13" i="7"/>
  <c r="M13" i="7"/>
  <c r="L13" i="7"/>
  <c r="K13" i="7"/>
  <c r="J13" i="7"/>
  <c r="I13" i="7"/>
  <c r="H13" i="7"/>
  <c r="G13" i="7"/>
  <c r="F13" i="7"/>
  <c r="E13" i="7"/>
  <c r="D13" i="7"/>
  <c r="C13" i="7"/>
  <c r="T12" i="7"/>
  <c r="S12" i="7"/>
  <c r="R12" i="7"/>
  <c r="Q12" i="7"/>
  <c r="P12" i="7"/>
  <c r="O12" i="7"/>
  <c r="N12" i="7"/>
  <c r="M12" i="7"/>
  <c r="L12" i="7"/>
  <c r="K12" i="7"/>
  <c r="J12" i="7"/>
  <c r="I12" i="7"/>
  <c r="H12" i="7"/>
  <c r="G12" i="7"/>
  <c r="F12" i="7"/>
  <c r="E12" i="7"/>
  <c r="D12" i="7"/>
  <c r="C12" i="7"/>
  <c r="T11" i="7"/>
  <c r="S11" i="7"/>
  <c r="R11" i="7"/>
  <c r="Q11" i="7"/>
  <c r="P11" i="7"/>
  <c r="O11" i="7"/>
  <c r="N11" i="7"/>
  <c r="M11" i="7"/>
  <c r="L11" i="7"/>
  <c r="K11" i="7"/>
  <c r="J11" i="7"/>
  <c r="I11" i="7"/>
  <c r="H11" i="7"/>
  <c r="G11" i="7"/>
  <c r="F11" i="7"/>
  <c r="E11" i="7"/>
  <c r="D11" i="7"/>
  <c r="C11" i="7"/>
  <c r="T10" i="7"/>
  <c r="S10" i="7"/>
  <c r="R10" i="7"/>
  <c r="Q10" i="7"/>
  <c r="P10" i="7"/>
  <c r="O10" i="7"/>
  <c r="N10" i="7"/>
  <c r="M10" i="7"/>
  <c r="L10" i="7"/>
  <c r="K10" i="7"/>
  <c r="J10" i="7"/>
  <c r="I10" i="7"/>
  <c r="H10" i="7"/>
  <c r="G10" i="7"/>
  <c r="F10" i="7"/>
  <c r="E10" i="7"/>
  <c r="D10" i="7"/>
  <c r="C10" i="7"/>
  <c r="T9" i="7"/>
  <c r="S9" i="7"/>
  <c r="R9" i="7"/>
  <c r="Q9" i="7"/>
  <c r="P9" i="7"/>
  <c r="O9" i="7"/>
  <c r="N9" i="7"/>
  <c r="M9" i="7"/>
  <c r="L9" i="7"/>
  <c r="K9" i="7"/>
  <c r="J9" i="7"/>
  <c r="I9" i="7"/>
  <c r="H9" i="7"/>
  <c r="G9" i="7"/>
  <c r="F9" i="7"/>
  <c r="E9" i="7"/>
  <c r="D9" i="7"/>
  <c r="C9" i="7"/>
  <c r="T8" i="7"/>
  <c r="S8" i="7"/>
  <c r="R8" i="7"/>
  <c r="Q8" i="7"/>
  <c r="P8" i="7"/>
  <c r="O8" i="7"/>
  <c r="N8" i="7"/>
  <c r="M8" i="7"/>
  <c r="L8" i="7"/>
  <c r="K8" i="7"/>
  <c r="J8" i="7"/>
  <c r="I8" i="7"/>
  <c r="H8" i="7"/>
  <c r="G8" i="7"/>
  <c r="F8" i="7"/>
  <c r="E8" i="7"/>
  <c r="D8" i="7"/>
  <c r="C8" i="7"/>
  <c r="T7" i="7"/>
  <c r="S7" i="7"/>
  <c r="R7" i="7"/>
  <c r="Q7" i="7"/>
  <c r="P7" i="7"/>
  <c r="O7" i="7"/>
  <c r="N7" i="7"/>
  <c r="M7" i="7"/>
  <c r="L7" i="7"/>
  <c r="K7" i="7"/>
  <c r="J7" i="7"/>
  <c r="I7" i="7"/>
  <c r="H7" i="7"/>
  <c r="G7" i="7"/>
  <c r="F7" i="7"/>
  <c r="E7" i="7"/>
  <c r="D7" i="7"/>
  <c r="C7" i="7"/>
  <c r="T6" i="7"/>
  <c r="S6" i="7"/>
  <c r="R6" i="7"/>
  <c r="Q6" i="7"/>
  <c r="P6" i="7"/>
  <c r="O6" i="7"/>
  <c r="N6" i="7"/>
  <c r="M6" i="7"/>
  <c r="L6" i="7"/>
  <c r="K6" i="7"/>
  <c r="J6" i="7"/>
  <c r="I6" i="7"/>
  <c r="H6" i="7"/>
  <c r="G6" i="7"/>
  <c r="F6" i="7"/>
  <c r="E6" i="7"/>
  <c r="D6" i="7"/>
  <c r="C6" i="7"/>
  <c r="T5" i="7"/>
  <c r="S5" i="7"/>
  <c r="R5" i="7"/>
  <c r="Q5" i="7"/>
  <c r="P5" i="7"/>
  <c r="O5" i="7"/>
  <c r="N5" i="7"/>
  <c r="M5" i="7"/>
  <c r="L5" i="7"/>
  <c r="K5" i="7"/>
  <c r="J5" i="7"/>
  <c r="I5" i="7"/>
  <c r="H5" i="7"/>
  <c r="G5" i="7"/>
  <c r="F5" i="7"/>
  <c r="E5" i="7"/>
  <c r="D5" i="7"/>
  <c r="T46" i="6"/>
  <c r="S46" i="6"/>
  <c r="R46" i="6"/>
  <c r="Q46" i="6"/>
  <c r="P46" i="6"/>
  <c r="O46" i="6"/>
  <c r="N46" i="6"/>
  <c r="T45" i="6"/>
  <c r="S45" i="6"/>
  <c r="R45" i="6"/>
  <c r="Q45" i="6"/>
  <c r="P45" i="6"/>
  <c r="O45" i="6"/>
  <c r="N45" i="6"/>
  <c r="T44" i="6"/>
  <c r="S44" i="6"/>
  <c r="R44" i="6"/>
  <c r="Q44" i="6"/>
  <c r="P44" i="6"/>
  <c r="O44" i="6"/>
  <c r="N44" i="6"/>
  <c r="T43" i="6"/>
  <c r="S43" i="6"/>
  <c r="R43" i="6"/>
  <c r="Q43" i="6"/>
  <c r="P43" i="6"/>
  <c r="O43" i="6"/>
  <c r="N43" i="6"/>
  <c r="T42" i="6"/>
  <c r="S42" i="6"/>
  <c r="R42" i="6"/>
  <c r="Q42" i="6"/>
  <c r="P42" i="6"/>
  <c r="O42" i="6"/>
  <c r="N42" i="6"/>
  <c r="T41" i="6"/>
  <c r="S41" i="6"/>
  <c r="R41" i="6"/>
  <c r="Q41" i="6"/>
  <c r="P41" i="6"/>
  <c r="O41" i="6"/>
  <c r="N41" i="6"/>
  <c r="T40" i="6"/>
  <c r="S40" i="6"/>
  <c r="R40" i="6"/>
  <c r="Q40" i="6"/>
  <c r="P40" i="6"/>
  <c r="O40" i="6"/>
  <c r="N40" i="6"/>
  <c r="T39" i="6"/>
  <c r="S39" i="6"/>
  <c r="R39" i="6"/>
  <c r="Q39" i="6"/>
  <c r="P39" i="6"/>
  <c r="O39" i="6"/>
  <c r="N39" i="6"/>
  <c r="T38" i="6"/>
  <c r="S38" i="6"/>
  <c r="R38" i="6"/>
  <c r="Q38" i="6"/>
  <c r="P38" i="6"/>
  <c r="O38" i="6"/>
  <c r="N38" i="6"/>
  <c r="T37" i="6"/>
  <c r="S37" i="6"/>
  <c r="R37" i="6"/>
  <c r="Q37" i="6"/>
  <c r="P37" i="6"/>
  <c r="O37" i="6"/>
  <c r="N37" i="6"/>
  <c r="T36" i="6"/>
  <c r="S36" i="6"/>
  <c r="R36" i="6"/>
  <c r="Q36" i="6"/>
  <c r="P36" i="6"/>
  <c r="O36" i="6"/>
  <c r="N36" i="6"/>
  <c r="T35" i="6"/>
  <c r="S35" i="6"/>
  <c r="R35" i="6"/>
  <c r="Q35" i="6"/>
  <c r="P35" i="6"/>
  <c r="O35" i="6"/>
  <c r="N35" i="6"/>
  <c r="T34" i="6"/>
  <c r="S34" i="6"/>
  <c r="R34" i="6"/>
  <c r="Q34" i="6"/>
  <c r="P34" i="6"/>
  <c r="O34" i="6"/>
  <c r="N34" i="6"/>
  <c r="T33" i="6"/>
  <c r="S33" i="6"/>
  <c r="R33" i="6"/>
  <c r="Q33" i="6"/>
  <c r="P33" i="6"/>
  <c r="O33" i="6"/>
  <c r="N33" i="6"/>
  <c r="T32" i="6"/>
  <c r="S32" i="6"/>
  <c r="R32" i="6"/>
  <c r="Q32" i="6"/>
  <c r="P32" i="6"/>
  <c r="O32" i="6"/>
  <c r="N32" i="6"/>
  <c r="T31" i="6"/>
  <c r="S31" i="6"/>
  <c r="R31" i="6"/>
  <c r="Q31" i="6"/>
  <c r="P31" i="6"/>
  <c r="O31" i="6"/>
  <c r="N31" i="6"/>
  <c r="T30" i="6"/>
  <c r="S30" i="6"/>
  <c r="R30" i="6"/>
  <c r="Q30" i="6"/>
  <c r="P30" i="6"/>
  <c r="O30" i="6"/>
  <c r="N30" i="6"/>
  <c r="T29" i="6"/>
  <c r="S29" i="6"/>
  <c r="R29" i="6"/>
  <c r="Q29" i="6"/>
  <c r="P29" i="6"/>
  <c r="O29" i="6"/>
  <c r="N29" i="6"/>
  <c r="T28" i="6"/>
  <c r="S28" i="6"/>
  <c r="R28" i="6"/>
  <c r="Q28" i="6"/>
  <c r="P28" i="6"/>
  <c r="O28" i="6"/>
  <c r="N28" i="6"/>
  <c r="T27" i="6"/>
  <c r="S27" i="6"/>
  <c r="R27" i="6"/>
  <c r="Q27" i="6"/>
  <c r="P27" i="6"/>
  <c r="O27" i="6"/>
  <c r="N27" i="6"/>
  <c r="T26" i="6"/>
  <c r="S26" i="6"/>
  <c r="R26" i="6"/>
  <c r="Q26" i="6"/>
  <c r="P26" i="6"/>
  <c r="O26" i="6"/>
  <c r="N26" i="6"/>
  <c r="T25" i="6"/>
  <c r="S25" i="6"/>
  <c r="R25" i="6"/>
  <c r="Q25" i="6"/>
  <c r="P25" i="6"/>
  <c r="O25" i="6"/>
  <c r="N25" i="6"/>
  <c r="T24" i="6"/>
  <c r="S24" i="6"/>
  <c r="R24" i="6"/>
  <c r="Q24" i="6"/>
  <c r="P24" i="6"/>
  <c r="O24" i="6"/>
  <c r="N24" i="6"/>
  <c r="T23" i="6"/>
  <c r="S23" i="6"/>
  <c r="R23" i="6"/>
  <c r="Q23" i="6"/>
  <c r="P23" i="6"/>
  <c r="O23" i="6"/>
  <c r="N23" i="6"/>
  <c r="T22" i="6"/>
  <c r="S22" i="6"/>
  <c r="R22" i="6"/>
  <c r="Q22" i="6"/>
  <c r="P22" i="6"/>
  <c r="O22" i="6"/>
  <c r="N22" i="6"/>
  <c r="T21" i="6"/>
  <c r="S21" i="6"/>
  <c r="R21" i="6"/>
  <c r="Q21" i="6"/>
  <c r="P21" i="6"/>
  <c r="O21" i="6"/>
  <c r="N21" i="6"/>
  <c r="T20" i="6"/>
  <c r="S20" i="6"/>
  <c r="R20" i="6"/>
  <c r="Q20" i="6"/>
  <c r="P20" i="6"/>
  <c r="O20" i="6"/>
  <c r="N20" i="6"/>
  <c r="T19" i="6"/>
  <c r="S19" i="6"/>
  <c r="R19" i="6"/>
  <c r="Q19" i="6"/>
  <c r="P19" i="6"/>
  <c r="O19" i="6"/>
  <c r="N19" i="6"/>
  <c r="T18" i="6"/>
  <c r="S18" i="6"/>
  <c r="R18" i="6"/>
  <c r="Q18" i="6"/>
  <c r="P18" i="6"/>
  <c r="O18" i="6"/>
  <c r="N18" i="6"/>
  <c r="T17" i="6"/>
  <c r="S17" i="6"/>
  <c r="R17" i="6"/>
  <c r="Q17" i="6"/>
  <c r="P17" i="6"/>
  <c r="O17" i="6"/>
  <c r="N17" i="6"/>
  <c r="T16" i="6"/>
  <c r="S16" i="6"/>
  <c r="R16" i="6"/>
  <c r="Q16" i="6"/>
  <c r="P16" i="6"/>
  <c r="O16" i="6"/>
  <c r="N16" i="6"/>
  <c r="T15" i="6"/>
  <c r="S15" i="6"/>
  <c r="R15" i="6"/>
  <c r="Q15" i="6"/>
  <c r="P15" i="6"/>
  <c r="O15" i="6"/>
  <c r="N15" i="6"/>
  <c r="T14" i="6"/>
  <c r="S14" i="6"/>
  <c r="R14" i="6"/>
  <c r="Q14" i="6"/>
  <c r="P14" i="6"/>
  <c r="O14" i="6"/>
  <c r="N14" i="6"/>
  <c r="T13" i="6"/>
  <c r="S13" i="6"/>
  <c r="R13" i="6"/>
  <c r="Q13" i="6"/>
  <c r="P13" i="6"/>
  <c r="O13" i="6"/>
  <c r="N13" i="6"/>
  <c r="T12" i="6"/>
  <c r="S12" i="6"/>
  <c r="R12" i="6"/>
  <c r="Q12" i="6"/>
  <c r="P12" i="6"/>
  <c r="O12" i="6"/>
  <c r="N12" i="6"/>
  <c r="T11" i="6"/>
  <c r="S11" i="6"/>
  <c r="R11" i="6"/>
  <c r="Q11" i="6"/>
  <c r="P11" i="6"/>
  <c r="O11" i="6"/>
  <c r="N11" i="6"/>
  <c r="T10" i="6"/>
  <c r="S10" i="6"/>
  <c r="R10" i="6"/>
  <c r="Q10" i="6"/>
  <c r="P10" i="6"/>
  <c r="O10" i="6"/>
  <c r="N10" i="6"/>
  <c r="T9" i="6"/>
  <c r="S9" i="6"/>
  <c r="R9" i="6"/>
  <c r="Q9" i="6"/>
  <c r="P9" i="6"/>
  <c r="O9" i="6"/>
  <c r="N9" i="6"/>
  <c r="T8" i="6"/>
  <c r="S8" i="6"/>
  <c r="R8" i="6"/>
  <c r="Q8" i="6"/>
  <c r="P8" i="6"/>
  <c r="O8" i="6"/>
  <c r="N8" i="6"/>
  <c r="T7" i="6"/>
  <c r="S7" i="6"/>
  <c r="R7" i="6"/>
  <c r="Q7" i="6"/>
  <c r="P7" i="6"/>
  <c r="O7" i="6"/>
  <c r="N7" i="6"/>
  <c r="T6" i="6"/>
  <c r="S6" i="6"/>
  <c r="R6" i="6"/>
  <c r="Q6" i="6"/>
  <c r="P6" i="6"/>
  <c r="O6" i="6"/>
  <c r="N6" i="6"/>
  <c r="T5" i="6"/>
  <c r="S5" i="6"/>
  <c r="R5" i="6"/>
  <c r="Q5" i="6"/>
  <c r="P5" i="6"/>
  <c r="O5" i="6"/>
  <c r="N5" i="6"/>
</calcChain>
</file>

<file path=xl/sharedStrings.xml><?xml version="1.0" encoding="utf-8"?>
<sst xmlns="http://schemas.openxmlformats.org/spreadsheetml/2006/main" count="129" uniqueCount="57">
  <si>
    <t>標稱尺度</t>
  </si>
  <si>
    <t>mm</t>
  </si>
  <si>
    <t>c</t>
  </si>
  <si>
    <t>大於</t>
  </si>
  <si>
    <t>至</t>
  </si>
  <si>
    <t>－</t>
  </si>
  <si>
    <t>a</t>
    <phoneticPr fontId="7" type="noConversion"/>
  </si>
  <si>
    <t>b</t>
    <phoneticPr fontId="7" type="noConversion"/>
  </si>
  <si>
    <t>d</t>
  </si>
  <si>
    <t>標稱尺度</t>
    <phoneticPr fontId="7" type="noConversion"/>
  </si>
  <si>
    <t>cd</t>
    <phoneticPr fontId="7" type="noConversion"/>
  </si>
  <si>
    <t>e</t>
  </si>
  <si>
    <t>ef</t>
    <phoneticPr fontId="7" type="noConversion"/>
  </si>
  <si>
    <r>
      <t>註中間基礎偏差</t>
    </r>
    <r>
      <rPr>
        <sz val="12"/>
        <color theme="1"/>
        <rFont val="微軟正黑體"/>
        <family val="2"/>
        <charset val="136"/>
      </rPr>
      <t>ef</t>
    </r>
    <r>
      <rPr>
        <sz val="12"/>
        <color theme="1"/>
        <rFont val="SimSun"/>
      </rPr>
      <t>主要使用於精密機械及鐘錶。若此基礎偏差所包含之公差類別在其他標稱尺度被需要時，亦可依</t>
    </r>
    <r>
      <rPr>
        <sz val="12"/>
        <color theme="1"/>
        <rFont val="Times New Roman"/>
        <family val="1"/>
      </rPr>
      <t>CNS 4-1</t>
    </r>
    <r>
      <rPr>
        <sz val="12"/>
        <color theme="1"/>
        <rFont val="SimSun"/>
      </rPr>
      <t>計算出數值。</t>
    </r>
    <phoneticPr fontId="7" type="noConversion"/>
  </si>
  <si>
    <t>f</t>
  </si>
  <si>
    <t>fg</t>
    <phoneticPr fontId="7" type="noConversion"/>
  </si>
  <si>
    <r>
      <t>註中間基礎偏差</t>
    </r>
    <r>
      <rPr>
        <sz val="12"/>
        <color theme="1"/>
        <rFont val="Times New Roman"/>
        <family val="1"/>
      </rPr>
      <t>fg</t>
    </r>
    <r>
      <rPr>
        <sz val="12"/>
        <color theme="1"/>
        <rFont val="SimSun"/>
      </rPr>
      <t>主要使用於精密機械及鐘錶。若此基礎偏差所包含之公差類別在其他標稱尺度被需要時，亦可依</t>
    </r>
    <r>
      <rPr>
        <sz val="12"/>
        <color theme="1"/>
        <rFont val="Times New Roman"/>
        <family val="1"/>
      </rPr>
      <t>CNS 4-1</t>
    </r>
    <r>
      <rPr>
        <sz val="12"/>
        <color theme="1"/>
        <rFont val="SimSun"/>
      </rPr>
      <t>計算出數值。</t>
    </r>
    <phoneticPr fontId="7" type="noConversion"/>
  </si>
  <si>
    <t>g</t>
  </si>
  <si>
    <t>h</t>
  </si>
  <si>
    <t>偏差</t>
  </si>
  <si>
    <t>µm</t>
  </si>
  <si>
    <t>3(a)</t>
  </si>
  <si>
    <r>
      <t>註</t>
    </r>
    <r>
      <rPr>
        <sz val="12"/>
        <color theme="1"/>
        <rFont val="細明體"/>
        <family val="3"/>
        <charset val="136"/>
      </rPr>
      <t>:</t>
    </r>
    <r>
      <rPr>
        <sz val="12"/>
        <color theme="1"/>
        <rFont val="SimSun"/>
      </rPr>
      <t>公差等級為IT14至IT16不適用於標稱尺度在1 mm以下者。</t>
    </r>
    <phoneticPr fontId="7" type="noConversion"/>
  </si>
  <si>
    <r>
      <rPr>
        <sz val="12"/>
        <color rgb="FF231F20"/>
        <rFont val="SimSun"/>
      </rPr>
      <t>標稱尺度</t>
    </r>
  </si>
  <si>
    <r>
      <rPr>
        <sz val="12"/>
        <color rgb="FF231F20"/>
        <rFont val="SimSun"/>
      </rPr>
      <t>大於</t>
    </r>
  </si>
  <si>
    <r>
      <rPr>
        <sz val="12"/>
        <color theme="1"/>
        <rFont val="SimSun"/>
      </rPr>
      <t>至</t>
    </r>
  </si>
  <si>
    <r>
      <rPr>
        <sz val="12"/>
        <color theme="1"/>
        <rFont val="SimSun"/>
      </rPr>
      <t>偏差</t>
    </r>
    <phoneticPr fontId="15" type="noConversion"/>
  </si>
  <si>
    <r>
      <rPr>
        <sz val="12"/>
        <color rgb="FF231F20"/>
        <rFont val="SimSun"/>
      </rPr>
      <t>－</t>
    </r>
  </si>
  <si>
    <t>js</t>
    <phoneticPr fontId="7" type="noConversion"/>
  </si>
  <si>
    <r>
      <t>註</t>
    </r>
    <r>
      <rPr>
        <sz val="12"/>
        <color theme="1"/>
        <rFont val="細明體"/>
        <family val="3"/>
        <charset val="136"/>
      </rPr>
      <t>:</t>
    </r>
    <r>
      <rPr>
        <sz val="12"/>
        <color theme="1"/>
        <rFont val="SimSun"/>
      </rPr>
      <t>為避免重複列出相同數值，本表所列數值為〝±x〞，數值可解釋為ES=+且EI=-x，例： ±0.23 mm。</t>
    </r>
    <phoneticPr fontId="15" type="noConversion"/>
  </si>
  <si>
    <t>註:公差等級為IT14至IT16不適用於標稱尺度在1 mm以下者。</t>
    <phoneticPr fontId="15" type="noConversion"/>
  </si>
  <si>
    <t>j</t>
  </si>
  <si>
    <t>k</t>
  </si>
  <si>
    <r>
      <t>註</t>
    </r>
    <r>
      <rPr>
        <sz val="12"/>
        <color theme="1"/>
        <rFont val="細明體"/>
        <family val="3"/>
        <charset val="136"/>
      </rPr>
      <t>:</t>
    </r>
    <r>
      <rPr>
        <sz val="12"/>
        <color theme="1"/>
        <rFont val="SimSun"/>
      </rPr>
      <t>j5、j6及j7以〝±x〞形式表示之數值與在該標稱尺度範圍之公差類別為js5、js6及js7之數值相同。</t>
    </r>
    <phoneticPr fontId="7" type="noConversion"/>
  </si>
  <si>
    <t>m</t>
  </si>
  <si>
    <t>n</t>
  </si>
  <si>
    <t>p</t>
  </si>
  <si>
    <t>r</t>
  </si>
  <si>
    <t>s</t>
  </si>
  <si>
    <t>u</t>
  </si>
  <si>
    <t>t</t>
    <phoneticPr fontId="7" type="noConversion"/>
  </si>
  <si>
    <t>註:標稱尺度在24 mm以下，公差類別t5至t8並未列出。建議以公差類別u5至u8取代。</t>
    <phoneticPr fontId="7" type="noConversion"/>
  </si>
  <si>
    <t>x</t>
  </si>
  <si>
    <t>v</t>
    <phoneticPr fontId="7" type="noConversion"/>
  </si>
  <si>
    <t>y</t>
    <phoneticPr fontId="7" type="noConversion"/>
  </si>
  <si>
    <t>註:基礎偏差v、x及y不適用於標稱尺度大於500 mm者。</t>
    <phoneticPr fontId="7" type="noConversion"/>
  </si>
  <si>
    <t>註:標稱尺度在14 mm以下，公差類別v5至v8並未列出。建議以公差類別x5至x8取代。</t>
    <phoneticPr fontId="7" type="noConversion"/>
  </si>
  <si>
    <t>註:標稱尺度在18 mm以下，公差類別y6至y10並未列出。建議以公差類別z6至z10取代。</t>
    <phoneticPr fontId="7" type="noConversion"/>
  </si>
  <si>
    <t>z</t>
  </si>
  <si>
    <t>za</t>
  </si>
  <si>
    <t>註:基礎偏差z及za不適用於標稱尺度大於500 mm者。</t>
    <phoneticPr fontId="7" type="noConversion"/>
  </si>
  <si>
    <t>zb</t>
  </si>
  <si>
    <t>zc</t>
  </si>
  <si>
    <t>註:基礎偏差zb及zc不適用於標稱尺度大於500 mm者。</t>
    <phoneticPr fontId="7" type="noConversion"/>
  </si>
  <si>
    <t>註:基礎偏差A、B 及C 不適用於標稱尺度大於 500 mm 者。</t>
    <phoneticPr fontId="7" type="noConversion"/>
  </si>
  <si>
    <t>註:基礎偏差A 及B 不適用於標稱尺度在 1 mm 以下之任何標準公差。</t>
    <phoneticPr fontId="7" type="noConversion"/>
  </si>
  <si>
    <r>
      <t>註:中間基礎偏差</t>
    </r>
    <r>
      <rPr>
        <sz val="12"/>
        <color theme="1"/>
        <rFont val="Times New Roman"/>
        <family val="1"/>
      </rPr>
      <t xml:space="preserve">CD </t>
    </r>
    <r>
      <rPr>
        <sz val="12"/>
        <color theme="1"/>
        <rFont val="SimSun"/>
      </rPr>
      <t xml:space="preserve">主要使用於精密機械及鐘錶。若此基礎偏差所包含之公差類別在其他標稱尺度被需要時，亦可依 </t>
    </r>
    <r>
      <rPr>
        <sz val="12"/>
        <color theme="1"/>
        <rFont val="Times New Roman"/>
        <family val="1"/>
      </rPr>
      <t xml:space="preserve">CNS 4-1 </t>
    </r>
    <r>
      <rPr>
        <sz val="12"/>
        <color theme="1"/>
        <rFont val="SimSun"/>
      </rPr>
      <t>計算出數值。</t>
    </r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</si>
</sst>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新細明體"/>
      <family val="2"/>
      <scheme val="minor"/>
    </font>
    <font>
      <sz val="12"/>
      <color rgb="FF231F20"/>
      <name val="SimSun"/>
    </font>
    <font>
      <sz val="12"/>
      <color theme="1"/>
      <name val="Times New Roman"/>
      <family val="1"/>
    </font>
    <font>
      <b/>
      <sz val="12"/>
      <color rgb="FF231F20"/>
      <name val="Times New Roman"/>
      <family val="1"/>
    </font>
    <font>
      <sz val="12"/>
      <color rgb="FF231F20"/>
      <name val="Times New Roman"/>
      <family val="1"/>
    </font>
    <font>
      <sz val="12"/>
      <color theme="1"/>
      <name val="SimSun"/>
    </font>
    <font>
      <b/>
      <sz val="12"/>
      <color theme="1"/>
      <name val="Times New Roman"/>
      <family val="1"/>
    </font>
    <font>
      <sz val="9"/>
      <name val="新細明體"/>
      <family val="3"/>
      <charset val="136"/>
      <scheme val="minor"/>
    </font>
    <font>
      <sz val="12"/>
      <color theme="1"/>
      <name val="SimSun"/>
    </font>
    <font>
      <sz val="11"/>
      <color theme="1"/>
      <name val="Times New Roman"/>
      <family val="1"/>
    </font>
    <font>
      <sz val="12"/>
      <color rgb="FF231F20"/>
      <name val="SimSun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i/>
      <sz val="12"/>
      <color theme="1"/>
      <name val="Times New Roman"/>
      <family val="1"/>
    </font>
    <font>
      <sz val="12"/>
      <color theme="1"/>
      <name val="細明體"/>
      <family val="3"/>
      <charset val="136"/>
    </font>
    <font>
      <sz val="9"/>
      <name val="新細明體"/>
      <family val="2"/>
      <charset val="136"/>
      <scheme val="minor"/>
    </font>
    <font>
      <sz val="12"/>
      <color theme="1"/>
      <name val="SimSun"/>
      <charset val="134"/>
    </font>
  </fonts>
  <fills count="2">
    <fill>
      <patternFill patternType="none"/>
    </fill>
    <fill>
      <patternFill patternType="gray125"/>
    </fill>
  </fills>
  <borders count="44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medium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ck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/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thick">
        <color rgb="FF000000"/>
      </right>
      <top/>
      <bottom/>
      <diagonal/>
    </border>
    <border>
      <left style="medium">
        <color rgb="FF000000"/>
      </left>
      <right/>
      <top style="thick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ck">
        <color rgb="FF000000"/>
      </right>
      <top style="medium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medium">
        <color rgb="FF000000"/>
      </left>
      <right style="thick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ck">
        <color rgb="FF000000"/>
      </right>
      <top/>
      <bottom style="medium">
        <color rgb="FF000000"/>
      </bottom>
      <diagonal/>
    </border>
    <border>
      <left style="thick">
        <color rgb="FF000000"/>
      </left>
      <right/>
      <top style="medium">
        <color rgb="FF000000"/>
      </top>
      <bottom style="thick">
        <color rgb="FF000000"/>
      </bottom>
      <diagonal/>
    </border>
    <border>
      <left/>
      <right/>
      <top style="medium">
        <color rgb="FF000000"/>
      </top>
      <bottom style="thick">
        <color rgb="FF000000"/>
      </bottom>
      <diagonal/>
    </border>
    <border>
      <left/>
      <right style="thick">
        <color rgb="FF000000"/>
      </right>
      <top style="medium">
        <color rgb="FF000000"/>
      </top>
      <bottom style="thick">
        <color rgb="FF000000"/>
      </bottom>
      <diagonal/>
    </border>
    <border>
      <left style="thick">
        <color rgb="FF000000"/>
      </left>
      <right style="medium">
        <color rgb="FF000000"/>
      </right>
      <top/>
      <bottom style="thick">
        <color rgb="FF000000"/>
      </bottom>
      <diagonal/>
    </border>
    <border>
      <left/>
      <right style="medium">
        <color rgb="FF000000"/>
      </right>
      <top/>
      <bottom style="thick">
        <color rgb="FF000000"/>
      </bottom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/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ck">
        <color rgb="FF000000"/>
      </bottom>
      <diagonal/>
    </border>
    <border>
      <left/>
      <right/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 style="medium">
        <color rgb="FF000000"/>
      </top>
      <bottom/>
      <diagonal/>
    </border>
    <border>
      <left style="thick">
        <color rgb="FF000000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ck">
        <color rgb="FF000000"/>
      </left>
      <right/>
      <top style="medium">
        <color rgb="FF000000"/>
      </top>
      <bottom style="thin">
        <color indexed="64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>
      <left/>
      <right style="thick">
        <color rgb="FF000000"/>
      </right>
      <top style="medium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130">
    <xf numFmtId="0" fontId="0" fillId="0" borderId="0" xfId="0"/>
    <xf numFmtId="0" fontId="4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 wrapText="1" indent="1"/>
    </xf>
    <xf numFmtId="0" fontId="3" fillId="0" borderId="8" xfId="0" applyFont="1" applyBorder="1" applyAlignment="1">
      <alignment horizontal="left" vertical="center" wrapText="1" indent="1"/>
    </xf>
    <xf numFmtId="0" fontId="4" fillId="0" borderId="10" xfId="0" applyFont="1" applyBorder="1" applyAlignment="1">
      <alignment vertical="center" wrapText="1"/>
    </xf>
    <xf numFmtId="0" fontId="4" fillId="0" borderId="11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3" fontId="4" fillId="0" borderId="4" xfId="0" applyNumberFormat="1" applyFont="1" applyBorder="1" applyAlignment="1">
      <alignment vertical="center" wrapText="1"/>
    </xf>
    <xf numFmtId="3" fontId="4" fillId="0" borderId="10" xfId="0" applyNumberFormat="1" applyFont="1" applyBorder="1" applyAlignment="1">
      <alignment vertical="center" wrapText="1"/>
    </xf>
    <xf numFmtId="3" fontId="4" fillId="0" borderId="8" xfId="0" applyNumberFormat="1" applyFont="1" applyBorder="1" applyAlignment="1">
      <alignment vertical="center" wrapText="1"/>
    </xf>
    <xf numFmtId="0" fontId="9" fillId="0" borderId="0" xfId="0" applyFont="1" applyAlignment="1">
      <alignment vertical="center" wrapText="1"/>
    </xf>
    <xf numFmtId="0" fontId="4" fillId="0" borderId="8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3" fontId="4" fillId="0" borderId="8" xfId="0" applyNumberFormat="1" applyFont="1" applyBorder="1" applyAlignment="1">
      <alignment horizontal="center" vertical="center" wrapText="1"/>
    </xf>
    <xf numFmtId="3" fontId="4" fillId="0" borderId="4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0" fillId="0" borderId="27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4" fillId="0" borderId="36" xfId="0" applyFont="1" applyBorder="1" applyAlignment="1">
      <alignment horizontal="right" vertical="center" wrapText="1"/>
    </xf>
    <xf numFmtId="0" fontId="9" fillId="0" borderId="6" xfId="0" applyFont="1" applyBorder="1" applyAlignment="1">
      <alignment vertical="center" wrapText="1"/>
    </xf>
    <xf numFmtId="0" fontId="10" fillId="0" borderId="4" xfId="0" applyFont="1" applyBorder="1" applyAlignment="1">
      <alignment horizontal="center" vertical="center" wrapText="1"/>
    </xf>
    <xf numFmtId="3" fontId="4" fillId="0" borderId="11" xfId="0" applyNumberFormat="1" applyFont="1" applyBorder="1" applyAlignment="1">
      <alignment horizontal="center" vertical="center" wrapText="1"/>
    </xf>
    <xf numFmtId="3" fontId="4" fillId="0" borderId="10" xfId="0" applyNumberFormat="1" applyFont="1" applyBorder="1" applyAlignment="1">
      <alignment horizontal="center" vertical="center" wrapText="1"/>
    </xf>
    <xf numFmtId="3" fontId="4" fillId="0" borderId="28" xfId="0" applyNumberFormat="1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8" fillId="0" borderId="17" xfId="0" applyFont="1" applyBorder="1" applyAlignment="1">
      <alignment vertical="center" wrapText="1"/>
    </xf>
    <xf numFmtId="0" fontId="5" fillId="0" borderId="18" xfId="0" applyFont="1" applyBorder="1" applyAlignment="1">
      <alignment vertical="center" wrapText="1"/>
    </xf>
    <xf numFmtId="0" fontId="5" fillId="0" borderId="19" xfId="0" applyFont="1" applyBorder="1" applyAlignment="1">
      <alignment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3" fontId="4" fillId="0" borderId="15" xfId="0" applyNumberFormat="1" applyFont="1" applyBorder="1" applyAlignment="1">
      <alignment horizontal="center" vertical="center" wrapText="1"/>
    </xf>
    <xf numFmtId="3" fontId="4" fillId="0" borderId="16" xfId="0" applyNumberFormat="1" applyFont="1" applyBorder="1" applyAlignment="1">
      <alignment horizontal="center" vertical="center" wrapText="1"/>
    </xf>
    <xf numFmtId="3" fontId="4" fillId="0" borderId="14" xfId="0" applyNumberFormat="1" applyFont="1" applyBorder="1" applyAlignment="1">
      <alignment horizontal="center" vertical="center" wrapText="1"/>
    </xf>
    <xf numFmtId="3" fontId="4" fillId="0" borderId="9" xfId="0" applyNumberFormat="1" applyFont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10" fillId="0" borderId="29" xfId="0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 wrapText="1"/>
    </xf>
    <xf numFmtId="3" fontId="4" fillId="0" borderId="22" xfId="0" applyNumberFormat="1" applyFont="1" applyBorder="1" applyAlignment="1">
      <alignment horizontal="center" vertical="center" wrapText="1"/>
    </xf>
    <xf numFmtId="3" fontId="4" fillId="0" borderId="23" xfId="0" applyNumberFormat="1" applyFont="1" applyBorder="1" applyAlignment="1">
      <alignment horizontal="center" vertical="center" wrapText="1"/>
    </xf>
    <xf numFmtId="3" fontId="4" fillId="0" borderId="27" xfId="0" applyNumberFormat="1" applyFont="1" applyBorder="1" applyAlignment="1">
      <alignment horizontal="center" vertical="center" wrapText="1"/>
    </xf>
    <xf numFmtId="3" fontId="4" fillId="0" borderId="31" xfId="0" applyNumberFormat="1" applyFont="1" applyBorder="1" applyAlignment="1">
      <alignment horizontal="center" vertical="center" wrapText="1"/>
    </xf>
    <xf numFmtId="0" fontId="3" fillId="0" borderId="34" xfId="0" applyFont="1" applyBorder="1" applyAlignment="1">
      <alignment horizontal="center" vertical="center" wrapText="1"/>
    </xf>
    <xf numFmtId="0" fontId="3" fillId="0" borderId="33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35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left" vertical="center" wrapText="1" indent="1"/>
    </xf>
    <xf numFmtId="0" fontId="4" fillId="0" borderId="9" xfId="0" applyFont="1" applyBorder="1" applyAlignment="1">
      <alignment horizontal="left" vertical="center" wrapText="1" indent="1"/>
    </xf>
    <xf numFmtId="0" fontId="2" fillId="0" borderId="15" xfId="0" applyFont="1" applyBorder="1" applyAlignment="1">
      <alignment horizontal="left" vertical="center" wrapText="1" indent="1"/>
    </xf>
    <xf numFmtId="0" fontId="2" fillId="0" borderId="16" xfId="0" applyFont="1" applyBorder="1" applyAlignment="1">
      <alignment horizontal="left" vertical="center" wrapText="1" indent="1"/>
    </xf>
    <xf numFmtId="0" fontId="2" fillId="0" borderId="35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37" xfId="0" applyFont="1" applyBorder="1" applyAlignment="1">
      <alignment horizontal="center" vertical="center" wrapText="1"/>
    </xf>
    <xf numFmtId="0" fontId="8" fillId="0" borderId="38" xfId="0" applyFont="1" applyBorder="1" applyAlignment="1">
      <alignment horizontal="center" vertical="center" wrapText="1"/>
    </xf>
    <xf numFmtId="0" fontId="8" fillId="0" borderId="39" xfId="0" applyFont="1" applyBorder="1" applyAlignment="1">
      <alignment horizontal="center" vertical="center" wrapText="1"/>
    </xf>
    <xf numFmtId="0" fontId="8" fillId="0" borderId="40" xfId="0" applyFont="1" applyBorder="1" applyAlignment="1">
      <alignment horizontal="center" vertical="center" wrapText="1"/>
    </xf>
    <xf numFmtId="3" fontId="4" fillId="0" borderId="32" xfId="0" applyNumberFormat="1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8" fillId="0" borderId="42" xfId="0" applyFont="1" applyBorder="1" applyAlignment="1">
      <alignment horizontal="center" vertical="center" wrapText="1"/>
    </xf>
    <xf numFmtId="0" fontId="8" fillId="0" borderId="43" xfId="0" applyFont="1" applyBorder="1" applyAlignment="1">
      <alignment horizontal="center" vertical="center" wrapText="1"/>
    </xf>
    <xf numFmtId="0" fontId="16" fillId="0" borderId="17" xfId="0" applyFont="1" applyBorder="1" applyAlignment="1">
      <alignment vertical="center" wrapText="1"/>
    </xf>
    <xf numFmtId="0" fontId="16" fillId="0" borderId="24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41" xfId="0" applyFont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1"/>
  <sheetViews>
    <sheetView topLeftCell="A29" workbookViewId="0">
      <selection activeCell="A51" sqref="A51:R51"/>
    </sheetView>
  </sheetViews>
  <sheetFormatPr defaultRowHeight="15" x14ac:dyDescent="0.3"/>
  <sheetData>
    <row r="1" spans="1:18" ht="16.2" thickTop="1" x14ac:dyDescent="0.3">
      <c r="A1" s="59" t="s">
        <v>0</v>
      </c>
      <c r="B1" s="60"/>
      <c r="C1" s="51" t="s">
        <v>6</v>
      </c>
      <c r="D1" s="52"/>
      <c r="E1" s="52"/>
      <c r="F1" s="52"/>
      <c r="G1" s="63"/>
      <c r="H1" s="51" t="s">
        <v>7</v>
      </c>
      <c r="I1" s="52"/>
      <c r="J1" s="52"/>
      <c r="K1" s="52"/>
      <c r="L1" s="52"/>
      <c r="M1" s="63"/>
      <c r="N1" s="51" t="s">
        <v>2</v>
      </c>
      <c r="O1" s="52"/>
      <c r="P1" s="52"/>
      <c r="Q1" s="52"/>
      <c r="R1" s="53"/>
    </row>
    <row r="2" spans="1:18" ht="16.2" thickBot="1" x14ac:dyDescent="0.35">
      <c r="A2" s="61" t="s">
        <v>1</v>
      </c>
      <c r="B2" s="62"/>
      <c r="C2" s="54"/>
      <c r="D2" s="55"/>
      <c r="E2" s="55"/>
      <c r="F2" s="55"/>
      <c r="G2" s="64"/>
      <c r="H2" s="54"/>
      <c r="I2" s="55"/>
      <c r="J2" s="55"/>
      <c r="K2" s="55"/>
      <c r="L2" s="55"/>
      <c r="M2" s="64"/>
      <c r="N2" s="54"/>
      <c r="O2" s="55"/>
      <c r="P2" s="55"/>
      <c r="Q2" s="55"/>
      <c r="R2" s="56"/>
    </row>
    <row r="3" spans="1:18" ht="16.2" thickBot="1" x14ac:dyDescent="0.35">
      <c r="A3" s="4" t="s">
        <v>3</v>
      </c>
      <c r="B3" s="5" t="s">
        <v>4</v>
      </c>
      <c r="C3" s="6">
        <v>9</v>
      </c>
      <c r="D3" s="7">
        <v>10</v>
      </c>
      <c r="E3" s="7">
        <v>11</v>
      </c>
      <c r="F3" s="7">
        <v>12</v>
      </c>
      <c r="G3" s="7">
        <v>13</v>
      </c>
      <c r="H3" s="2">
        <v>8</v>
      </c>
      <c r="I3" s="2">
        <v>9</v>
      </c>
      <c r="J3" s="7">
        <v>10</v>
      </c>
      <c r="K3" s="7">
        <v>11</v>
      </c>
      <c r="L3" s="7">
        <v>12</v>
      </c>
      <c r="M3" s="7">
        <v>13</v>
      </c>
      <c r="N3" s="2">
        <v>8</v>
      </c>
      <c r="O3" s="2">
        <v>9</v>
      </c>
      <c r="P3" s="7">
        <v>10</v>
      </c>
      <c r="Q3" s="7">
        <v>11</v>
      </c>
      <c r="R3" s="8">
        <v>12</v>
      </c>
    </row>
    <row r="4" spans="1:18" ht="15.6" x14ac:dyDescent="0.3">
      <c r="A4" s="57" t="s">
        <v>5</v>
      </c>
      <c r="B4" s="49">
        <v>3</v>
      </c>
      <c r="C4" s="9">
        <v>-270</v>
      </c>
      <c r="D4" s="9">
        <v>-270</v>
      </c>
      <c r="E4" s="9">
        <v>-270</v>
      </c>
      <c r="F4" s="9">
        <v>-270</v>
      </c>
      <c r="G4" s="9">
        <v>-270</v>
      </c>
      <c r="H4" s="9">
        <v>-140</v>
      </c>
      <c r="I4" s="9">
        <v>-140</v>
      </c>
      <c r="J4" s="9">
        <v>-140</v>
      </c>
      <c r="K4" s="9">
        <v>-140</v>
      </c>
      <c r="L4" s="9">
        <v>-140</v>
      </c>
      <c r="M4" s="9">
        <v>-140</v>
      </c>
      <c r="N4" s="9">
        <v>-60</v>
      </c>
      <c r="O4" s="9">
        <v>-60</v>
      </c>
      <c r="P4" s="9">
        <v>-60</v>
      </c>
      <c r="Q4" s="9">
        <v>-60</v>
      </c>
      <c r="R4" s="10">
        <v>-60</v>
      </c>
    </row>
    <row r="5" spans="1:18" ht="16.2" thickBot="1" x14ac:dyDescent="0.35">
      <c r="A5" s="58"/>
      <c r="B5" s="50"/>
      <c r="C5" s="11">
        <v>-295</v>
      </c>
      <c r="D5" s="11">
        <v>-310</v>
      </c>
      <c r="E5" s="11">
        <v>-330</v>
      </c>
      <c r="F5" s="11">
        <v>-370</v>
      </c>
      <c r="G5" s="11">
        <v>-410</v>
      </c>
      <c r="H5" s="11">
        <v>-154</v>
      </c>
      <c r="I5" s="11">
        <v>-165</v>
      </c>
      <c r="J5" s="11">
        <v>-180</v>
      </c>
      <c r="K5" s="11">
        <v>-200</v>
      </c>
      <c r="L5" s="11">
        <v>-240</v>
      </c>
      <c r="M5" s="11">
        <v>-280</v>
      </c>
      <c r="N5" s="11">
        <v>-74</v>
      </c>
      <c r="O5" s="11">
        <v>-85</v>
      </c>
      <c r="P5" s="11">
        <v>-100</v>
      </c>
      <c r="Q5" s="11">
        <v>-120</v>
      </c>
      <c r="R5" s="12">
        <v>-150</v>
      </c>
    </row>
    <row r="6" spans="1:18" ht="15.6" x14ac:dyDescent="0.3">
      <c r="A6" s="47">
        <v>3</v>
      </c>
      <c r="B6" s="49">
        <v>6</v>
      </c>
      <c r="C6" s="9">
        <v>-270</v>
      </c>
      <c r="D6" s="9">
        <v>-270</v>
      </c>
      <c r="E6" s="9">
        <v>-270</v>
      </c>
      <c r="F6" s="9">
        <v>-270</v>
      </c>
      <c r="G6" s="9">
        <v>-270</v>
      </c>
      <c r="H6" s="9">
        <v>-140</v>
      </c>
      <c r="I6" s="9">
        <v>-140</v>
      </c>
      <c r="J6" s="9">
        <v>-140</v>
      </c>
      <c r="K6" s="9">
        <v>-140</v>
      </c>
      <c r="L6" s="9">
        <v>-140</v>
      </c>
      <c r="M6" s="9">
        <v>-140</v>
      </c>
      <c r="N6" s="9">
        <v>-70</v>
      </c>
      <c r="O6" s="9">
        <v>-70</v>
      </c>
      <c r="P6" s="9">
        <v>-70</v>
      </c>
      <c r="Q6" s="9">
        <v>-70</v>
      </c>
      <c r="R6" s="10">
        <v>-70</v>
      </c>
    </row>
    <row r="7" spans="1:18" ht="16.2" thickBot="1" x14ac:dyDescent="0.35">
      <c r="A7" s="48"/>
      <c r="B7" s="50"/>
      <c r="C7" s="11">
        <v>-300</v>
      </c>
      <c r="D7" s="11">
        <v>-318</v>
      </c>
      <c r="E7" s="11">
        <v>-345</v>
      </c>
      <c r="F7" s="11">
        <v>-390</v>
      </c>
      <c r="G7" s="11">
        <v>-450</v>
      </c>
      <c r="H7" s="11">
        <v>-158</v>
      </c>
      <c r="I7" s="11">
        <v>-170</v>
      </c>
      <c r="J7" s="11">
        <v>-188</v>
      </c>
      <c r="K7" s="11">
        <v>-215</v>
      </c>
      <c r="L7" s="11">
        <v>-260</v>
      </c>
      <c r="M7" s="11">
        <v>-320</v>
      </c>
      <c r="N7" s="11">
        <v>-88</v>
      </c>
      <c r="O7" s="11">
        <v>-100</v>
      </c>
      <c r="P7" s="11">
        <v>-118</v>
      </c>
      <c r="Q7" s="11">
        <v>-145</v>
      </c>
      <c r="R7" s="12">
        <v>-190</v>
      </c>
    </row>
    <row r="8" spans="1:18" ht="15.6" x14ac:dyDescent="0.3">
      <c r="A8" s="47">
        <v>6</v>
      </c>
      <c r="B8" s="49">
        <v>10</v>
      </c>
      <c r="C8" s="9">
        <v>-280</v>
      </c>
      <c r="D8" s="9">
        <v>-280</v>
      </c>
      <c r="E8" s="9">
        <v>-280</v>
      </c>
      <c r="F8" s="9">
        <v>-280</v>
      </c>
      <c r="G8" s="9">
        <v>-280</v>
      </c>
      <c r="H8" s="9">
        <v>-150</v>
      </c>
      <c r="I8" s="9">
        <v>-150</v>
      </c>
      <c r="J8" s="9">
        <v>-150</v>
      </c>
      <c r="K8" s="9">
        <v>-150</v>
      </c>
      <c r="L8" s="9">
        <v>-150</v>
      </c>
      <c r="M8" s="9">
        <v>-150</v>
      </c>
      <c r="N8" s="9">
        <v>-80</v>
      </c>
      <c r="O8" s="9">
        <v>-80</v>
      </c>
      <c r="P8" s="9">
        <v>-80</v>
      </c>
      <c r="Q8" s="9">
        <v>-80</v>
      </c>
      <c r="R8" s="10">
        <v>-80</v>
      </c>
    </row>
    <row r="9" spans="1:18" ht="16.2" thickBot="1" x14ac:dyDescent="0.35">
      <c r="A9" s="48"/>
      <c r="B9" s="50"/>
      <c r="C9" s="11">
        <v>-316</v>
      </c>
      <c r="D9" s="11">
        <v>-338</v>
      </c>
      <c r="E9" s="11">
        <v>-370</v>
      </c>
      <c r="F9" s="11">
        <v>-430</v>
      </c>
      <c r="G9" s="11">
        <v>-500</v>
      </c>
      <c r="H9" s="11">
        <v>-172</v>
      </c>
      <c r="I9" s="11">
        <v>-186</v>
      </c>
      <c r="J9" s="11">
        <v>-208</v>
      </c>
      <c r="K9" s="11">
        <v>-240</v>
      </c>
      <c r="L9" s="11">
        <v>-300</v>
      </c>
      <c r="M9" s="11">
        <v>-370</v>
      </c>
      <c r="N9" s="11">
        <v>-102</v>
      </c>
      <c r="O9" s="11">
        <v>-116</v>
      </c>
      <c r="P9" s="11">
        <v>-138</v>
      </c>
      <c r="Q9" s="11">
        <v>-170</v>
      </c>
      <c r="R9" s="12">
        <v>-230</v>
      </c>
    </row>
    <row r="10" spans="1:18" ht="15.6" x14ac:dyDescent="0.3">
      <c r="A10" s="47">
        <v>10</v>
      </c>
      <c r="B10" s="49">
        <v>18</v>
      </c>
      <c r="C10" s="9">
        <v>-290</v>
      </c>
      <c r="D10" s="9">
        <v>-290</v>
      </c>
      <c r="E10" s="9">
        <v>-290</v>
      </c>
      <c r="F10" s="9">
        <v>-290</v>
      </c>
      <c r="G10" s="9">
        <v>-290</v>
      </c>
      <c r="H10" s="9">
        <v>-150</v>
      </c>
      <c r="I10" s="9">
        <v>-150</v>
      </c>
      <c r="J10" s="9">
        <v>-150</v>
      </c>
      <c r="K10" s="9">
        <v>-150</v>
      </c>
      <c r="L10" s="9">
        <v>-150</v>
      </c>
      <c r="M10" s="9">
        <v>-150</v>
      </c>
      <c r="N10" s="9">
        <v>-95</v>
      </c>
      <c r="O10" s="9">
        <v>-95</v>
      </c>
      <c r="P10" s="9">
        <v>-95</v>
      </c>
      <c r="Q10" s="9">
        <v>-95</v>
      </c>
      <c r="R10" s="10">
        <v>-95</v>
      </c>
    </row>
    <row r="11" spans="1:18" ht="16.2" thickBot="1" x14ac:dyDescent="0.35">
      <c r="A11" s="48"/>
      <c r="B11" s="50"/>
      <c r="C11" s="11">
        <v>-333</v>
      </c>
      <c r="D11" s="11">
        <v>-360</v>
      </c>
      <c r="E11" s="11">
        <v>-400</v>
      </c>
      <c r="F11" s="11">
        <v>-470</v>
      </c>
      <c r="G11" s="11">
        <v>-560</v>
      </c>
      <c r="H11" s="11">
        <v>-177</v>
      </c>
      <c r="I11" s="11">
        <v>-193</v>
      </c>
      <c r="J11" s="11">
        <v>-220</v>
      </c>
      <c r="K11" s="11">
        <v>-260</v>
      </c>
      <c r="L11" s="11">
        <v>-330</v>
      </c>
      <c r="M11" s="11">
        <v>-420</v>
      </c>
      <c r="N11" s="11">
        <v>-122</v>
      </c>
      <c r="O11" s="11">
        <v>-138</v>
      </c>
      <c r="P11" s="11">
        <v>-165</v>
      </c>
      <c r="Q11" s="11">
        <v>-205</v>
      </c>
      <c r="R11" s="12">
        <v>-275</v>
      </c>
    </row>
    <row r="12" spans="1:18" ht="15.6" x14ac:dyDescent="0.3">
      <c r="A12" s="47">
        <v>18</v>
      </c>
      <c r="B12" s="49">
        <v>30</v>
      </c>
      <c r="C12" s="9">
        <v>-300</v>
      </c>
      <c r="D12" s="9">
        <v>-300</v>
      </c>
      <c r="E12" s="9">
        <v>-300</v>
      </c>
      <c r="F12" s="9">
        <v>-300</v>
      </c>
      <c r="G12" s="9">
        <v>-300</v>
      </c>
      <c r="H12" s="9">
        <v>-160</v>
      </c>
      <c r="I12" s="9">
        <v>-160</v>
      </c>
      <c r="J12" s="9">
        <v>-160</v>
      </c>
      <c r="K12" s="9">
        <v>-160</v>
      </c>
      <c r="L12" s="9">
        <v>-160</v>
      </c>
      <c r="M12" s="9">
        <v>-160</v>
      </c>
      <c r="N12" s="9">
        <v>-110</v>
      </c>
      <c r="O12" s="9">
        <v>-110</v>
      </c>
      <c r="P12" s="9">
        <v>-110</v>
      </c>
      <c r="Q12" s="9">
        <v>-110</v>
      </c>
      <c r="R12" s="10">
        <v>-110</v>
      </c>
    </row>
    <row r="13" spans="1:18" ht="16.2" thickBot="1" x14ac:dyDescent="0.35">
      <c r="A13" s="48"/>
      <c r="B13" s="50"/>
      <c r="C13" s="11">
        <v>-352</v>
      </c>
      <c r="D13" s="11">
        <v>-384</v>
      </c>
      <c r="E13" s="11">
        <v>-430</v>
      </c>
      <c r="F13" s="11">
        <v>-510</v>
      </c>
      <c r="G13" s="11">
        <v>-630</v>
      </c>
      <c r="H13" s="11">
        <v>-193</v>
      </c>
      <c r="I13" s="11">
        <v>-212</v>
      </c>
      <c r="J13" s="11">
        <v>-244</v>
      </c>
      <c r="K13" s="11">
        <v>-290</v>
      </c>
      <c r="L13" s="11">
        <v>-370</v>
      </c>
      <c r="M13" s="11">
        <v>-490</v>
      </c>
      <c r="N13" s="11">
        <v>-143</v>
      </c>
      <c r="O13" s="11">
        <v>-162</v>
      </c>
      <c r="P13" s="11">
        <v>-194</v>
      </c>
      <c r="Q13" s="11">
        <v>-240</v>
      </c>
      <c r="R13" s="12">
        <v>-320</v>
      </c>
    </row>
    <row r="14" spans="1:18" ht="15.6" x14ac:dyDescent="0.3">
      <c r="A14" s="47">
        <v>30</v>
      </c>
      <c r="B14" s="49">
        <v>40</v>
      </c>
      <c r="C14" s="9">
        <v>-310</v>
      </c>
      <c r="D14" s="9">
        <v>-310</v>
      </c>
      <c r="E14" s="9">
        <v>-310</v>
      </c>
      <c r="F14" s="9">
        <v>-310</v>
      </c>
      <c r="G14" s="9">
        <v>-310</v>
      </c>
      <c r="H14" s="9">
        <v>-170</v>
      </c>
      <c r="I14" s="9">
        <v>-170</v>
      </c>
      <c r="J14" s="9">
        <v>-170</v>
      </c>
      <c r="K14" s="9">
        <v>-170</v>
      </c>
      <c r="L14" s="9">
        <v>-170</v>
      </c>
      <c r="M14" s="9">
        <v>-170</v>
      </c>
      <c r="N14" s="9">
        <v>-120</v>
      </c>
      <c r="O14" s="9">
        <v>-120</v>
      </c>
      <c r="P14" s="9">
        <v>-120</v>
      </c>
      <c r="Q14" s="9">
        <v>-120</v>
      </c>
      <c r="R14" s="10">
        <v>-120</v>
      </c>
    </row>
    <row r="15" spans="1:18" ht="16.2" thickBot="1" x14ac:dyDescent="0.35">
      <c r="A15" s="48"/>
      <c r="B15" s="50"/>
      <c r="C15" s="11">
        <v>-372</v>
      </c>
      <c r="D15" s="11">
        <v>-410</v>
      </c>
      <c r="E15" s="11">
        <v>-470</v>
      </c>
      <c r="F15" s="11">
        <v>-560</v>
      </c>
      <c r="G15" s="11">
        <v>-700</v>
      </c>
      <c r="H15" s="11">
        <v>-209</v>
      </c>
      <c r="I15" s="11">
        <v>-232</v>
      </c>
      <c r="J15" s="11">
        <v>-270</v>
      </c>
      <c r="K15" s="11">
        <v>-330</v>
      </c>
      <c r="L15" s="11">
        <v>-420</v>
      </c>
      <c r="M15" s="11">
        <v>-560</v>
      </c>
      <c r="N15" s="11">
        <v>-159</v>
      </c>
      <c r="O15" s="11">
        <v>-182</v>
      </c>
      <c r="P15" s="11">
        <v>-220</v>
      </c>
      <c r="Q15" s="11">
        <v>-280</v>
      </c>
      <c r="R15" s="12">
        <v>-370</v>
      </c>
    </row>
    <row r="16" spans="1:18" ht="15.6" x14ac:dyDescent="0.3">
      <c r="A16" s="47">
        <v>40</v>
      </c>
      <c r="B16" s="49">
        <v>50</v>
      </c>
      <c r="C16" s="9">
        <v>-320</v>
      </c>
      <c r="D16" s="9">
        <v>-320</v>
      </c>
      <c r="E16" s="9">
        <v>-320</v>
      </c>
      <c r="F16" s="9">
        <v>-320</v>
      </c>
      <c r="G16" s="9">
        <v>-320</v>
      </c>
      <c r="H16" s="9">
        <v>-180</v>
      </c>
      <c r="I16" s="9">
        <v>-180</v>
      </c>
      <c r="J16" s="9">
        <v>-180</v>
      </c>
      <c r="K16" s="9">
        <v>-180</v>
      </c>
      <c r="L16" s="9">
        <v>-180</v>
      </c>
      <c r="M16" s="9">
        <v>-180</v>
      </c>
      <c r="N16" s="9">
        <v>-130</v>
      </c>
      <c r="O16" s="9">
        <v>-130</v>
      </c>
      <c r="P16" s="9">
        <v>-130</v>
      </c>
      <c r="Q16" s="9">
        <v>-130</v>
      </c>
      <c r="R16" s="10">
        <v>-130</v>
      </c>
    </row>
    <row r="17" spans="1:18" ht="16.2" thickBot="1" x14ac:dyDescent="0.35">
      <c r="A17" s="48"/>
      <c r="B17" s="50"/>
      <c r="C17" s="11">
        <v>-382</v>
      </c>
      <c r="D17" s="11">
        <v>-420</v>
      </c>
      <c r="E17" s="11">
        <v>-480</v>
      </c>
      <c r="F17" s="11">
        <v>-570</v>
      </c>
      <c r="G17" s="11">
        <v>-710</v>
      </c>
      <c r="H17" s="11">
        <v>-219</v>
      </c>
      <c r="I17" s="11">
        <v>-242</v>
      </c>
      <c r="J17" s="11">
        <v>-280</v>
      </c>
      <c r="K17" s="11">
        <v>-340</v>
      </c>
      <c r="L17" s="11">
        <v>-430</v>
      </c>
      <c r="M17" s="11">
        <v>-570</v>
      </c>
      <c r="N17" s="11">
        <v>-169</v>
      </c>
      <c r="O17" s="11">
        <v>-192</v>
      </c>
      <c r="P17" s="11">
        <v>-230</v>
      </c>
      <c r="Q17" s="11">
        <v>-290</v>
      </c>
      <c r="R17" s="12">
        <v>-380</v>
      </c>
    </row>
    <row r="18" spans="1:18" ht="15.6" x14ac:dyDescent="0.3">
      <c r="A18" s="47">
        <v>50</v>
      </c>
      <c r="B18" s="49">
        <v>65</v>
      </c>
      <c r="C18" s="9">
        <v>-340</v>
      </c>
      <c r="D18" s="9">
        <v>-340</v>
      </c>
      <c r="E18" s="9">
        <v>-340</v>
      </c>
      <c r="F18" s="9">
        <v>-340</v>
      </c>
      <c r="G18" s="9">
        <v>-340</v>
      </c>
      <c r="H18" s="9">
        <v>-190</v>
      </c>
      <c r="I18" s="9">
        <v>-190</v>
      </c>
      <c r="J18" s="9">
        <v>-190</v>
      </c>
      <c r="K18" s="9">
        <v>-190</v>
      </c>
      <c r="L18" s="9">
        <v>-190</v>
      </c>
      <c r="M18" s="9">
        <v>-190</v>
      </c>
      <c r="N18" s="9">
        <v>-140</v>
      </c>
      <c r="O18" s="9">
        <v>-140</v>
      </c>
      <c r="P18" s="9">
        <v>-140</v>
      </c>
      <c r="Q18" s="9">
        <v>-140</v>
      </c>
      <c r="R18" s="10">
        <v>-140</v>
      </c>
    </row>
    <row r="19" spans="1:18" ht="16.2" thickBot="1" x14ac:dyDescent="0.35">
      <c r="A19" s="48"/>
      <c r="B19" s="50"/>
      <c r="C19" s="11">
        <v>-414</v>
      </c>
      <c r="D19" s="11">
        <v>-460</v>
      </c>
      <c r="E19" s="11">
        <v>-530</v>
      </c>
      <c r="F19" s="11">
        <v>-640</v>
      </c>
      <c r="G19" s="11">
        <v>-800</v>
      </c>
      <c r="H19" s="11">
        <v>-236</v>
      </c>
      <c r="I19" s="11">
        <v>-264</v>
      </c>
      <c r="J19" s="11">
        <v>-310</v>
      </c>
      <c r="K19" s="11">
        <v>-380</v>
      </c>
      <c r="L19" s="11">
        <v>-490</v>
      </c>
      <c r="M19" s="11">
        <v>-650</v>
      </c>
      <c r="N19" s="11">
        <v>-186</v>
      </c>
      <c r="O19" s="11">
        <v>-214</v>
      </c>
      <c r="P19" s="11">
        <v>-260</v>
      </c>
      <c r="Q19" s="11">
        <v>-330</v>
      </c>
      <c r="R19" s="12">
        <v>-440</v>
      </c>
    </row>
    <row r="20" spans="1:18" ht="15.6" x14ac:dyDescent="0.3">
      <c r="A20" s="47">
        <v>65</v>
      </c>
      <c r="B20" s="49">
        <v>80</v>
      </c>
      <c r="C20" s="9">
        <v>-360</v>
      </c>
      <c r="D20" s="9">
        <v>-360</v>
      </c>
      <c r="E20" s="9">
        <v>-360</v>
      </c>
      <c r="F20" s="9">
        <v>-360</v>
      </c>
      <c r="G20" s="9">
        <v>-360</v>
      </c>
      <c r="H20" s="9">
        <v>-200</v>
      </c>
      <c r="I20" s="9">
        <v>-200</v>
      </c>
      <c r="J20" s="9">
        <v>-200</v>
      </c>
      <c r="K20" s="9">
        <v>-200</v>
      </c>
      <c r="L20" s="9">
        <v>-200</v>
      </c>
      <c r="M20" s="9">
        <v>-200</v>
      </c>
      <c r="N20" s="9">
        <v>-150</v>
      </c>
      <c r="O20" s="9">
        <v>-150</v>
      </c>
      <c r="P20" s="9">
        <v>-150</v>
      </c>
      <c r="Q20" s="9">
        <v>-150</v>
      </c>
      <c r="R20" s="10">
        <v>-150</v>
      </c>
    </row>
    <row r="21" spans="1:18" ht="16.2" thickBot="1" x14ac:dyDescent="0.35">
      <c r="A21" s="48"/>
      <c r="B21" s="50"/>
      <c r="C21" s="11">
        <v>-434</v>
      </c>
      <c r="D21" s="11">
        <v>-480</v>
      </c>
      <c r="E21" s="11">
        <v>-550</v>
      </c>
      <c r="F21" s="11">
        <v>-660</v>
      </c>
      <c r="G21" s="11">
        <v>-820</v>
      </c>
      <c r="H21" s="11">
        <v>-246</v>
      </c>
      <c r="I21" s="11">
        <v>-274</v>
      </c>
      <c r="J21" s="11">
        <v>-320</v>
      </c>
      <c r="K21" s="11">
        <v>-390</v>
      </c>
      <c r="L21" s="11">
        <v>-500</v>
      </c>
      <c r="M21" s="11">
        <v>-660</v>
      </c>
      <c r="N21" s="11">
        <v>-196</v>
      </c>
      <c r="O21" s="11">
        <v>-224</v>
      </c>
      <c r="P21" s="11">
        <v>-270</v>
      </c>
      <c r="Q21" s="11">
        <v>-340</v>
      </c>
      <c r="R21" s="12">
        <v>-450</v>
      </c>
    </row>
    <row r="22" spans="1:18" ht="15.6" x14ac:dyDescent="0.3">
      <c r="A22" s="47">
        <v>80</v>
      </c>
      <c r="B22" s="49">
        <v>100</v>
      </c>
      <c r="C22" s="9">
        <v>-380</v>
      </c>
      <c r="D22" s="9">
        <v>-380</v>
      </c>
      <c r="E22" s="9">
        <v>-380</v>
      </c>
      <c r="F22" s="9">
        <v>-380</v>
      </c>
      <c r="G22" s="9">
        <v>-380</v>
      </c>
      <c r="H22" s="9">
        <v>-220</v>
      </c>
      <c r="I22" s="9">
        <v>-220</v>
      </c>
      <c r="J22" s="9">
        <v>-220</v>
      </c>
      <c r="K22" s="9">
        <v>-220</v>
      </c>
      <c r="L22" s="9">
        <v>-220</v>
      </c>
      <c r="M22" s="9">
        <v>-220</v>
      </c>
      <c r="N22" s="9">
        <v>-170</v>
      </c>
      <c r="O22" s="9">
        <v>-170</v>
      </c>
      <c r="P22" s="9">
        <v>-170</v>
      </c>
      <c r="Q22" s="9">
        <v>-170</v>
      </c>
      <c r="R22" s="10">
        <v>-170</v>
      </c>
    </row>
    <row r="23" spans="1:18" ht="16.2" thickBot="1" x14ac:dyDescent="0.35">
      <c r="A23" s="48"/>
      <c r="B23" s="50"/>
      <c r="C23" s="11">
        <v>-467</v>
      </c>
      <c r="D23" s="11">
        <v>-520</v>
      </c>
      <c r="E23" s="11">
        <v>-600</v>
      </c>
      <c r="F23" s="11">
        <v>-730</v>
      </c>
      <c r="G23" s="11">
        <v>-920</v>
      </c>
      <c r="H23" s="11">
        <v>-274</v>
      </c>
      <c r="I23" s="11">
        <v>-307</v>
      </c>
      <c r="J23" s="11">
        <v>-360</v>
      </c>
      <c r="K23" s="11">
        <v>-440</v>
      </c>
      <c r="L23" s="11">
        <v>-570</v>
      </c>
      <c r="M23" s="11">
        <v>-760</v>
      </c>
      <c r="N23" s="11">
        <v>-224</v>
      </c>
      <c r="O23" s="11">
        <v>-257</v>
      </c>
      <c r="P23" s="11">
        <v>-310</v>
      </c>
      <c r="Q23" s="11">
        <v>-390</v>
      </c>
      <c r="R23" s="12">
        <v>-520</v>
      </c>
    </row>
    <row r="24" spans="1:18" ht="15.6" x14ac:dyDescent="0.3">
      <c r="A24" s="47">
        <v>100</v>
      </c>
      <c r="B24" s="49">
        <v>120</v>
      </c>
      <c r="C24" s="9">
        <v>-410</v>
      </c>
      <c r="D24" s="9">
        <v>-410</v>
      </c>
      <c r="E24" s="9">
        <v>-410</v>
      </c>
      <c r="F24" s="9">
        <v>-410</v>
      </c>
      <c r="G24" s="9">
        <v>-410</v>
      </c>
      <c r="H24" s="9">
        <v>-240</v>
      </c>
      <c r="I24" s="9">
        <v>-240</v>
      </c>
      <c r="J24" s="9">
        <v>-240</v>
      </c>
      <c r="K24" s="9">
        <v>-240</v>
      </c>
      <c r="L24" s="9">
        <v>-240</v>
      </c>
      <c r="M24" s="9">
        <v>-240</v>
      </c>
      <c r="N24" s="9">
        <v>-180</v>
      </c>
      <c r="O24" s="9">
        <v>-180</v>
      </c>
      <c r="P24" s="9">
        <v>-180</v>
      </c>
      <c r="Q24" s="9">
        <v>-180</v>
      </c>
      <c r="R24" s="10">
        <v>-180</v>
      </c>
    </row>
    <row r="25" spans="1:18" ht="16.2" thickBot="1" x14ac:dyDescent="0.35">
      <c r="A25" s="48"/>
      <c r="B25" s="50"/>
      <c r="C25" s="11">
        <v>-497</v>
      </c>
      <c r="D25" s="11">
        <v>-550</v>
      </c>
      <c r="E25" s="11">
        <v>-630</v>
      </c>
      <c r="F25" s="11">
        <v>-760</v>
      </c>
      <c r="G25" s="11">
        <v>-950</v>
      </c>
      <c r="H25" s="11">
        <v>-294</v>
      </c>
      <c r="I25" s="11">
        <v>-327</v>
      </c>
      <c r="J25" s="11">
        <v>-380</v>
      </c>
      <c r="K25" s="11">
        <v>-460</v>
      </c>
      <c r="L25" s="11">
        <v>-590</v>
      </c>
      <c r="M25" s="11">
        <v>-780</v>
      </c>
      <c r="N25" s="11">
        <v>-234</v>
      </c>
      <c r="O25" s="11">
        <v>-267</v>
      </c>
      <c r="P25" s="11">
        <v>-320</v>
      </c>
      <c r="Q25" s="11">
        <v>-400</v>
      </c>
      <c r="R25" s="12">
        <v>-530</v>
      </c>
    </row>
    <row r="26" spans="1:18" ht="15.6" x14ac:dyDescent="0.3">
      <c r="A26" s="47">
        <v>120</v>
      </c>
      <c r="B26" s="49">
        <v>140</v>
      </c>
      <c r="C26" s="9">
        <v>-460</v>
      </c>
      <c r="D26" s="9">
        <v>-460</v>
      </c>
      <c r="E26" s="9">
        <v>-460</v>
      </c>
      <c r="F26" s="9">
        <v>-460</v>
      </c>
      <c r="G26" s="9">
        <v>-460</v>
      </c>
      <c r="H26" s="9">
        <v>-260</v>
      </c>
      <c r="I26" s="9">
        <v>-260</v>
      </c>
      <c r="J26" s="9">
        <v>-260</v>
      </c>
      <c r="K26" s="9">
        <v>-260</v>
      </c>
      <c r="L26" s="9">
        <v>-260</v>
      </c>
      <c r="M26" s="9">
        <v>-260</v>
      </c>
      <c r="N26" s="9">
        <v>-200</v>
      </c>
      <c r="O26" s="9">
        <v>-200</v>
      </c>
      <c r="P26" s="9">
        <v>-200</v>
      </c>
      <c r="Q26" s="9">
        <v>-200</v>
      </c>
      <c r="R26" s="10">
        <v>-200</v>
      </c>
    </row>
    <row r="27" spans="1:18" ht="16.2" thickBot="1" x14ac:dyDescent="0.35">
      <c r="A27" s="48"/>
      <c r="B27" s="50"/>
      <c r="C27" s="11">
        <v>-560</v>
      </c>
      <c r="D27" s="11">
        <v>-620</v>
      </c>
      <c r="E27" s="11">
        <v>-710</v>
      </c>
      <c r="F27" s="11">
        <v>-860</v>
      </c>
      <c r="G27" s="15">
        <v>-1090</v>
      </c>
      <c r="H27" s="11">
        <v>-323</v>
      </c>
      <c r="I27" s="11">
        <v>-360</v>
      </c>
      <c r="J27" s="11">
        <v>-420</v>
      </c>
      <c r="K27" s="11">
        <v>-510</v>
      </c>
      <c r="L27" s="11">
        <v>-660</v>
      </c>
      <c r="M27" s="11">
        <v>-890</v>
      </c>
      <c r="N27" s="11">
        <v>-263</v>
      </c>
      <c r="O27" s="11">
        <v>-300</v>
      </c>
      <c r="P27" s="11">
        <v>-360</v>
      </c>
      <c r="Q27" s="11">
        <v>-450</v>
      </c>
      <c r="R27" s="12">
        <v>-600</v>
      </c>
    </row>
    <row r="28" spans="1:18" ht="15.6" x14ac:dyDescent="0.3">
      <c r="A28" s="47">
        <v>140</v>
      </c>
      <c r="B28" s="49">
        <v>160</v>
      </c>
      <c r="C28" s="9">
        <v>-520</v>
      </c>
      <c r="D28" s="9">
        <v>-520</v>
      </c>
      <c r="E28" s="9">
        <v>-520</v>
      </c>
      <c r="F28" s="9">
        <v>-520</v>
      </c>
      <c r="G28" s="9">
        <v>-520</v>
      </c>
      <c r="H28" s="9">
        <v>-280</v>
      </c>
      <c r="I28" s="9">
        <v>-280</v>
      </c>
      <c r="J28" s="9">
        <v>-280</v>
      </c>
      <c r="K28" s="9">
        <v>-280</v>
      </c>
      <c r="L28" s="9">
        <v>-280</v>
      </c>
      <c r="M28" s="9">
        <v>-280</v>
      </c>
      <c r="N28" s="9">
        <v>-210</v>
      </c>
      <c r="O28" s="9">
        <v>-210</v>
      </c>
      <c r="P28" s="9">
        <v>-210</v>
      </c>
      <c r="Q28" s="9">
        <v>-210</v>
      </c>
      <c r="R28" s="10">
        <v>-210</v>
      </c>
    </row>
    <row r="29" spans="1:18" ht="16.2" thickBot="1" x14ac:dyDescent="0.35">
      <c r="A29" s="48"/>
      <c r="B29" s="50"/>
      <c r="C29" s="11">
        <v>-620</v>
      </c>
      <c r="D29" s="11">
        <v>-680</v>
      </c>
      <c r="E29" s="11">
        <v>-770</v>
      </c>
      <c r="F29" s="11">
        <v>-920</v>
      </c>
      <c r="G29" s="15">
        <v>-1150</v>
      </c>
      <c r="H29" s="11">
        <v>-343</v>
      </c>
      <c r="I29" s="11">
        <v>-380</v>
      </c>
      <c r="J29" s="11">
        <v>-440</v>
      </c>
      <c r="K29" s="11">
        <v>-530</v>
      </c>
      <c r="L29" s="11">
        <v>-680</v>
      </c>
      <c r="M29" s="11">
        <v>-910</v>
      </c>
      <c r="N29" s="11">
        <v>-273</v>
      </c>
      <c r="O29" s="11">
        <v>-310</v>
      </c>
      <c r="P29" s="11">
        <v>-370</v>
      </c>
      <c r="Q29" s="11">
        <v>-460</v>
      </c>
      <c r="R29" s="12">
        <v>-610</v>
      </c>
    </row>
    <row r="30" spans="1:18" ht="15.6" x14ac:dyDescent="0.3">
      <c r="A30" s="47">
        <v>160</v>
      </c>
      <c r="B30" s="49">
        <v>180</v>
      </c>
      <c r="C30" s="9">
        <v>-580</v>
      </c>
      <c r="D30" s="9">
        <v>-580</v>
      </c>
      <c r="E30" s="9">
        <v>-580</v>
      </c>
      <c r="F30" s="9">
        <v>-580</v>
      </c>
      <c r="G30" s="9">
        <v>-580</v>
      </c>
      <c r="H30" s="9">
        <v>-310</v>
      </c>
      <c r="I30" s="9">
        <v>-310</v>
      </c>
      <c r="J30" s="9">
        <v>-310</v>
      </c>
      <c r="K30" s="9">
        <v>-310</v>
      </c>
      <c r="L30" s="9">
        <v>-310</v>
      </c>
      <c r="M30" s="9">
        <v>-310</v>
      </c>
      <c r="N30" s="9">
        <v>-230</v>
      </c>
      <c r="O30" s="9">
        <v>-230</v>
      </c>
      <c r="P30" s="9">
        <v>-230</v>
      </c>
      <c r="Q30" s="9">
        <v>-230</v>
      </c>
      <c r="R30" s="10">
        <v>-230</v>
      </c>
    </row>
    <row r="31" spans="1:18" ht="16.2" thickBot="1" x14ac:dyDescent="0.35">
      <c r="A31" s="48"/>
      <c r="B31" s="50"/>
      <c r="C31" s="11">
        <v>-680</v>
      </c>
      <c r="D31" s="11">
        <v>-740</v>
      </c>
      <c r="E31" s="11">
        <v>-830</v>
      </c>
      <c r="F31" s="11">
        <v>-980</v>
      </c>
      <c r="G31" s="15">
        <v>-1210</v>
      </c>
      <c r="H31" s="11">
        <v>-373</v>
      </c>
      <c r="I31" s="11">
        <v>-410</v>
      </c>
      <c r="J31" s="11">
        <v>-470</v>
      </c>
      <c r="K31" s="11">
        <v>-560</v>
      </c>
      <c r="L31" s="11">
        <v>-710</v>
      </c>
      <c r="M31" s="11">
        <v>-940</v>
      </c>
      <c r="N31" s="11">
        <v>-293</v>
      </c>
      <c r="O31" s="11">
        <v>-330</v>
      </c>
      <c r="P31" s="11">
        <v>-390</v>
      </c>
      <c r="Q31" s="11">
        <v>-480</v>
      </c>
      <c r="R31" s="12">
        <v>-630</v>
      </c>
    </row>
    <row r="32" spans="1:18" ht="15.6" x14ac:dyDescent="0.3">
      <c r="A32" s="47">
        <v>180</v>
      </c>
      <c r="B32" s="49">
        <v>200</v>
      </c>
      <c r="C32" s="9">
        <v>-660</v>
      </c>
      <c r="D32" s="9">
        <v>-660</v>
      </c>
      <c r="E32" s="9">
        <v>-660</v>
      </c>
      <c r="F32" s="9">
        <v>-660</v>
      </c>
      <c r="G32" s="9">
        <v>-660</v>
      </c>
      <c r="H32" s="9">
        <v>-340</v>
      </c>
      <c r="I32" s="9">
        <v>-340</v>
      </c>
      <c r="J32" s="9">
        <v>-340</v>
      </c>
      <c r="K32" s="9">
        <v>-340</v>
      </c>
      <c r="L32" s="9">
        <v>-340</v>
      </c>
      <c r="M32" s="9">
        <v>-340</v>
      </c>
      <c r="N32" s="9">
        <v>-240</v>
      </c>
      <c r="O32" s="9">
        <v>-240</v>
      </c>
      <c r="P32" s="9">
        <v>-240</v>
      </c>
      <c r="Q32" s="9">
        <v>-240</v>
      </c>
      <c r="R32" s="10">
        <v>-240</v>
      </c>
    </row>
    <row r="33" spans="1:18" ht="16.2" thickBot="1" x14ac:dyDescent="0.35">
      <c r="A33" s="48"/>
      <c r="B33" s="50"/>
      <c r="C33" s="11">
        <v>-775</v>
      </c>
      <c r="D33" s="11">
        <v>-845</v>
      </c>
      <c r="E33" s="11">
        <v>-950</v>
      </c>
      <c r="F33" s="15">
        <v>-1120</v>
      </c>
      <c r="G33" s="15">
        <v>-1380</v>
      </c>
      <c r="H33" s="11">
        <v>-412</v>
      </c>
      <c r="I33" s="11">
        <v>-455</v>
      </c>
      <c r="J33" s="11">
        <v>-525</v>
      </c>
      <c r="K33" s="11">
        <v>-630</v>
      </c>
      <c r="L33" s="11">
        <v>-800</v>
      </c>
      <c r="M33" s="15">
        <v>-1060</v>
      </c>
      <c r="N33" s="11">
        <v>-312</v>
      </c>
      <c r="O33" s="11">
        <v>-355</v>
      </c>
      <c r="P33" s="11">
        <v>-425</v>
      </c>
      <c r="Q33" s="11">
        <v>-530</v>
      </c>
      <c r="R33" s="12">
        <v>-700</v>
      </c>
    </row>
    <row r="34" spans="1:18" ht="15.6" x14ac:dyDescent="0.3">
      <c r="A34" s="47">
        <v>200</v>
      </c>
      <c r="B34" s="49">
        <v>225</v>
      </c>
      <c r="C34" s="9">
        <v>-740</v>
      </c>
      <c r="D34" s="9">
        <v>-740</v>
      </c>
      <c r="E34" s="9">
        <v>-740</v>
      </c>
      <c r="F34" s="9">
        <v>-740</v>
      </c>
      <c r="G34" s="9">
        <v>-740</v>
      </c>
      <c r="H34" s="9">
        <v>-380</v>
      </c>
      <c r="I34" s="9">
        <v>-380</v>
      </c>
      <c r="J34" s="9">
        <v>-380</v>
      </c>
      <c r="K34" s="9">
        <v>-380</v>
      </c>
      <c r="L34" s="9">
        <v>-380</v>
      </c>
      <c r="M34" s="9">
        <v>-380</v>
      </c>
      <c r="N34" s="9">
        <v>-260</v>
      </c>
      <c r="O34" s="9">
        <v>-260</v>
      </c>
      <c r="P34" s="9">
        <v>-260</v>
      </c>
      <c r="Q34" s="9">
        <v>-260</v>
      </c>
      <c r="R34" s="10">
        <v>-260</v>
      </c>
    </row>
    <row r="35" spans="1:18" ht="16.2" thickBot="1" x14ac:dyDescent="0.35">
      <c r="A35" s="48"/>
      <c r="B35" s="50"/>
      <c r="C35" s="11">
        <v>-855</v>
      </c>
      <c r="D35" s="11">
        <v>-925</v>
      </c>
      <c r="E35" s="15">
        <v>-1030</v>
      </c>
      <c r="F35" s="15">
        <v>-1200</v>
      </c>
      <c r="G35" s="15">
        <v>-1460</v>
      </c>
      <c r="H35" s="11">
        <v>-452</v>
      </c>
      <c r="I35" s="11">
        <v>-495</v>
      </c>
      <c r="J35" s="11">
        <v>-565</v>
      </c>
      <c r="K35" s="11">
        <v>-670</v>
      </c>
      <c r="L35" s="11">
        <v>-840</v>
      </c>
      <c r="M35" s="15">
        <v>-1100</v>
      </c>
      <c r="N35" s="11">
        <v>-332</v>
      </c>
      <c r="O35" s="11">
        <v>-375</v>
      </c>
      <c r="P35" s="11">
        <v>-445</v>
      </c>
      <c r="Q35" s="11">
        <v>-550</v>
      </c>
      <c r="R35" s="12">
        <v>-720</v>
      </c>
    </row>
    <row r="36" spans="1:18" ht="15.6" x14ac:dyDescent="0.3">
      <c r="A36" s="47">
        <v>225</v>
      </c>
      <c r="B36" s="49">
        <v>250</v>
      </c>
      <c r="C36" s="9">
        <v>-820</v>
      </c>
      <c r="D36" s="9">
        <v>-820</v>
      </c>
      <c r="E36" s="9">
        <v>-820</v>
      </c>
      <c r="F36" s="9">
        <v>-820</v>
      </c>
      <c r="G36" s="9">
        <v>-820</v>
      </c>
      <c r="H36" s="9">
        <v>-420</v>
      </c>
      <c r="I36" s="9">
        <v>-420</v>
      </c>
      <c r="J36" s="9">
        <v>-420</v>
      </c>
      <c r="K36" s="9">
        <v>-420</v>
      </c>
      <c r="L36" s="9">
        <v>-420</v>
      </c>
      <c r="M36" s="9">
        <v>-420</v>
      </c>
      <c r="N36" s="9">
        <v>-280</v>
      </c>
      <c r="O36" s="9">
        <v>-280</v>
      </c>
      <c r="P36" s="9">
        <v>-280</v>
      </c>
      <c r="Q36" s="9">
        <v>-280</v>
      </c>
      <c r="R36" s="10">
        <v>-280</v>
      </c>
    </row>
    <row r="37" spans="1:18" ht="16.2" thickBot="1" x14ac:dyDescent="0.35">
      <c r="A37" s="48"/>
      <c r="B37" s="50"/>
      <c r="C37" s="11">
        <v>-935</v>
      </c>
      <c r="D37" s="15">
        <v>-1005</v>
      </c>
      <c r="E37" s="15">
        <v>-1110</v>
      </c>
      <c r="F37" s="15">
        <v>-1280</v>
      </c>
      <c r="G37" s="15">
        <v>-1540</v>
      </c>
      <c r="H37" s="11">
        <v>-492</v>
      </c>
      <c r="I37" s="11">
        <v>-535</v>
      </c>
      <c r="J37" s="11">
        <v>-605</v>
      </c>
      <c r="K37" s="11">
        <v>-710</v>
      </c>
      <c r="L37" s="11">
        <v>-880</v>
      </c>
      <c r="M37" s="15">
        <v>-1140</v>
      </c>
      <c r="N37" s="11">
        <v>-352</v>
      </c>
      <c r="O37" s="11">
        <v>-395</v>
      </c>
      <c r="P37" s="11">
        <v>-465</v>
      </c>
      <c r="Q37" s="11">
        <v>-570</v>
      </c>
      <c r="R37" s="12">
        <v>-740</v>
      </c>
    </row>
    <row r="38" spans="1:18" ht="15.6" x14ac:dyDescent="0.3">
      <c r="A38" s="47">
        <v>250</v>
      </c>
      <c r="B38" s="49">
        <v>280</v>
      </c>
      <c r="C38" s="9">
        <v>-920</v>
      </c>
      <c r="D38" s="9">
        <v>-920</v>
      </c>
      <c r="E38" s="9">
        <v>-920</v>
      </c>
      <c r="F38" s="9">
        <v>-920</v>
      </c>
      <c r="G38" s="9">
        <v>-920</v>
      </c>
      <c r="H38" s="9">
        <v>-480</v>
      </c>
      <c r="I38" s="9">
        <v>-480</v>
      </c>
      <c r="J38" s="9">
        <v>-480</v>
      </c>
      <c r="K38" s="9">
        <v>-480</v>
      </c>
      <c r="L38" s="9">
        <v>-480</v>
      </c>
      <c r="M38" s="9">
        <v>-480</v>
      </c>
      <c r="N38" s="9">
        <v>-300</v>
      </c>
      <c r="O38" s="9">
        <v>-300</v>
      </c>
      <c r="P38" s="9">
        <v>-300</v>
      </c>
      <c r="Q38" s="9">
        <v>-300</v>
      </c>
      <c r="R38" s="10">
        <v>-300</v>
      </c>
    </row>
    <row r="39" spans="1:18" ht="16.2" thickBot="1" x14ac:dyDescent="0.35">
      <c r="A39" s="48"/>
      <c r="B39" s="50"/>
      <c r="C39" s="15">
        <v>-1050</v>
      </c>
      <c r="D39" s="15">
        <v>-1130</v>
      </c>
      <c r="E39" s="15">
        <v>-1240</v>
      </c>
      <c r="F39" s="15">
        <v>-1440</v>
      </c>
      <c r="G39" s="15">
        <v>-1730</v>
      </c>
      <c r="H39" s="11">
        <v>-561</v>
      </c>
      <c r="I39" s="11">
        <v>-610</v>
      </c>
      <c r="J39" s="11">
        <v>-690</v>
      </c>
      <c r="K39" s="11">
        <v>-800</v>
      </c>
      <c r="L39" s="15">
        <v>-1000</v>
      </c>
      <c r="M39" s="15">
        <v>-1290</v>
      </c>
      <c r="N39" s="11">
        <v>-381</v>
      </c>
      <c r="O39" s="11">
        <v>-430</v>
      </c>
      <c r="P39" s="11">
        <v>-510</v>
      </c>
      <c r="Q39" s="11">
        <v>-620</v>
      </c>
      <c r="R39" s="12">
        <v>-820</v>
      </c>
    </row>
    <row r="40" spans="1:18" ht="15.6" x14ac:dyDescent="0.3">
      <c r="A40" s="47">
        <v>280</v>
      </c>
      <c r="B40" s="49">
        <v>315</v>
      </c>
      <c r="C40" s="16">
        <v>-1050</v>
      </c>
      <c r="D40" s="16">
        <v>-1050</v>
      </c>
      <c r="E40" s="16">
        <v>-1050</v>
      </c>
      <c r="F40" s="16">
        <v>-1050</v>
      </c>
      <c r="G40" s="16">
        <v>-1050</v>
      </c>
      <c r="H40" s="9">
        <v>-540</v>
      </c>
      <c r="I40" s="9">
        <v>-540</v>
      </c>
      <c r="J40" s="9">
        <v>-540</v>
      </c>
      <c r="K40" s="9">
        <v>-540</v>
      </c>
      <c r="L40" s="9">
        <v>-540</v>
      </c>
      <c r="M40" s="9">
        <v>-540</v>
      </c>
      <c r="N40" s="9">
        <v>-330</v>
      </c>
      <c r="O40" s="9">
        <v>-330</v>
      </c>
      <c r="P40" s="9">
        <v>-330</v>
      </c>
      <c r="Q40" s="9">
        <v>-330</v>
      </c>
      <c r="R40" s="10">
        <v>-330</v>
      </c>
    </row>
    <row r="41" spans="1:18" ht="16.2" thickBot="1" x14ac:dyDescent="0.35">
      <c r="A41" s="48"/>
      <c r="B41" s="50"/>
      <c r="C41" s="15">
        <v>-1180</v>
      </c>
      <c r="D41" s="15">
        <v>-1260</v>
      </c>
      <c r="E41" s="15">
        <v>-1370</v>
      </c>
      <c r="F41" s="15">
        <v>-1570</v>
      </c>
      <c r="G41" s="15">
        <v>-1860</v>
      </c>
      <c r="H41" s="11">
        <v>-621</v>
      </c>
      <c r="I41" s="11">
        <v>-670</v>
      </c>
      <c r="J41" s="11">
        <v>-750</v>
      </c>
      <c r="K41" s="11">
        <v>-860</v>
      </c>
      <c r="L41" s="15">
        <v>-1060</v>
      </c>
      <c r="M41" s="15">
        <v>-1350</v>
      </c>
      <c r="N41" s="11">
        <v>-411</v>
      </c>
      <c r="O41" s="11">
        <v>-460</v>
      </c>
      <c r="P41" s="11">
        <v>-540</v>
      </c>
      <c r="Q41" s="11">
        <v>-650</v>
      </c>
      <c r="R41" s="12">
        <v>-850</v>
      </c>
    </row>
    <row r="42" spans="1:18" ht="15.6" x14ac:dyDescent="0.3">
      <c r="A42" s="47">
        <v>315</v>
      </c>
      <c r="B42" s="49">
        <v>355</v>
      </c>
      <c r="C42" s="16">
        <v>-1200</v>
      </c>
      <c r="D42" s="16">
        <v>-1200</v>
      </c>
      <c r="E42" s="16">
        <v>-1200</v>
      </c>
      <c r="F42" s="16">
        <v>-1200</v>
      </c>
      <c r="G42" s="16">
        <v>-1200</v>
      </c>
      <c r="H42" s="9">
        <v>-600</v>
      </c>
      <c r="I42" s="9">
        <v>-600</v>
      </c>
      <c r="J42" s="9">
        <v>-600</v>
      </c>
      <c r="K42" s="9">
        <v>-600</v>
      </c>
      <c r="L42" s="9">
        <v>-600</v>
      </c>
      <c r="M42" s="9">
        <v>-600</v>
      </c>
      <c r="N42" s="9">
        <v>-360</v>
      </c>
      <c r="O42" s="9">
        <v>-360</v>
      </c>
      <c r="P42" s="9">
        <v>-360</v>
      </c>
      <c r="Q42" s="9">
        <v>-360</v>
      </c>
      <c r="R42" s="10">
        <v>-360</v>
      </c>
    </row>
    <row r="43" spans="1:18" ht="16.2" thickBot="1" x14ac:dyDescent="0.35">
      <c r="A43" s="48"/>
      <c r="B43" s="50"/>
      <c r="C43" s="15">
        <v>-1340</v>
      </c>
      <c r="D43" s="15">
        <v>-1430</v>
      </c>
      <c r="E43" s="15">
        <v>-1560</v>
      </c>
      <c r="F43" s="15">
        <v>-1770</v>
      </c>
      <c r="G43" s="15">
        <v>-2090</v>
      </c>
      <c r="H43" s="11">
        <v>-689</v>
      </c>
      <c r="I43" s="11">
        <v>-740</v>
      </c>
      <c r="J43" s="11">
        <v>-830</v>
      </c>
      <c r="K43" s="11">
        <v>-960</v>
      </c>
      <c r="L43" s="15">
        <v>-1170</v>
      </c>
      <c r="M43" s="15">
        <v>-1490</v>
      </c>
      <c r="N43" s="11">
        <v>-449</v>
      </c>
      <c r="O43" s="11">
        <v>-500</v>
      </c>
      <c r="P43" s="11">
        <v>-590</v>
      </c>
      <c r="Q43" s="11">
        <v>-720</v>
      </c>
      <c r="R43" s="12">
        <v>-930</v>
      </c>
    </row>
    <row r="44" spans="1:18" ht="15.6" x14ac:dyDescent="0.3">
      <c r="A44" s="47">
        <v>355</v>
      </c>
      <c r="B44" s="49">
        <v>400</v>
      </c>
      <c r="C44" s="16">
        <v>-1350</v>
      </c>
      <c r="D44" s="16">
        <v>-1350</v>
      </c>
      <c r="E44" s="16">
        <v>-1350</v>
      </c>
      <c r="F44" s="16">
        <v>-1350</v>
      </c>
      <c r="G44" s="16">
        <v>-1350</v>
      </c>
      <c r="H44" s="9">
        <v>-680</v>
      </c>
      <c r="I44" s="9">
        <v>-680</v>
      </c>
      <c r="J44" s="9">
        <v>-680</v>
      </c>
      <c r="K44" s="9">
        <v>-680</v>
      </c>
      <c r="L44" s="9">
        <v>-680</v>
      </c>
      <c r="M44" s="9">
        <v>-680</v>
      </c>
      <c r="N44" s="9">
        <v>-400</v>
      </c>
      <c r="O44" s="9">
        <v>-400</v>
      </c>
      <c r="P44" s="9">
        <v>-400</v>
      </c>
      <c r="Q44" s="9">
        <v>-400</v>
      </c>
      <c r="R44" s="10">
        <v>-400</v>
      </c>
    </row>
    <row r="45" spans="1:18" ht="16.2" thickBot="1" x14ac:dyDescent="0.35">
      <c r="A45" s="48"/>
      <c r="B45" s="50"/>
      <c r="C45" s="15">
        <v>-1490</v>
      </c>
      <c r="D45" s="15">
        <v>-1580</v>
      </c>
      <c r="E45" s="15">
        <v>-1710</v>
      </c>
      <c r="F45" s="15">
        <v>-1920</v>
      </c>
      <c r="G45" s="15">
        <v>-2240</v>
      </c>
      <c r="H45" s="11">
        <v>-769</v>
      </c>
      <c r="I45" s="11">
        <v>-820</v>
      </c>
      <c r="J45" s="11">
        <v>-910</v>
      </c>
      <c r="K45" s="15">
        <v>-1040</v>
      </c>
      <c r="L45" s="15">
        <v>-1250</v>
      </c>
      <c r="M45" s="15">
        <v>-1570</v>
      </c>
      <c r="N45" s="11">
        <v>-489</v>
      </c>
      <c r="O45" s="11">
        <v>-540</v>
      </c>
      <c r="P45" s="11">
        <v>-630</v>
      </c>
      <c r="Q45" s="11">
        <v>-760</v>
      </c>
      <c r="R45" s="12">
        <v>-970</v>
      </c>
    </row>
    <row r="46" spans="1:18" ht="15.6" x14ac:dyDescent="0.3">
      <c r="A46" s="47">
        <v>400</v>
      </c>
      <c r="B46" s="49">
        <v>450</v>
      </c>
      <c r="C46" s="16">
        <v>-1500</v>
      </c>
      <c r="D46" s="16">
        <v>-1500</v>
      </c>
      <c r="E46" s="16">
        <v>-1500</v>
      </c>
      <c r="F46" s="16">
        <v>-1500</v>
      </c>
      <c r="G46" s="16">
        <v>-1500</v>
      </c>
      <c r="H46" s="9">
        <v>-760</v>
      </c>
      <c r="I46" s="9">
        <v>-760</v>
      </c>
      <c r="J46" s="9">
        <v>-760</v>
      </c>
      <c r="K46" s="9">
        <v>-760</v>
      </c>
      <c r="L46" s="9">
        <v>-760</v>
      </c>
      <c r="M46" s="9">
        <v>-760</v>
      </c>
      <c r="N46" s="9">
        <v>-440</v>
      </c>
      <c r="O46" s="9">
        <v>-440</v>
      </c>
      <c r="P46" s="9">
        <v>-440</v>
      </c>
      <c r="Q46" s="9">
        <v>-440</v>
      </c>
      <c r="R46" s="10">
        <v>-440</v>
      </c>
    </row>
    <row r="47" spans="1:18" ht="16.2" thickBot="1" x14ac:dyDescent="0.35">
      <c r="A47" s="48"/>
      <c r="B47" s="50"/>
      <c r="C47" s="15">
        <v>-1655</v>
      </c>
      <c r="D47" s="15">
        <v>-1750</v>
      </c>
      <c r="E47" s="15">
        <v>-1900</v>
      </c>
      <c r="F47" s="15">
        <v>-2130</v>
      </c>
      <c r="G47" s="15">
        <v>-2470</v>
      </c>
      <c r="H47" s="11">
        <v>-857</v>
      </c>
      <c r="I47" s="11">
        <v>-915</v>
      </c>
      <c r="J47" s="15">
        <v>-1010</v>
      </c>
      <c r="K47" s="15">
        <v>-1160</v>
      </c>
      <c r="L47" s="15">
        <v>-1390</v>
      </c>
      <c r="M47" s="15">
        <v>-1730</v>
      </c>
      <c r="N47" s="11">
        <v>-537</v>
      </c>
      <c r="O47" s="11">
        <v>-595</v>
      </c>
      <c r="P47" s="11">
        <v>-690</v>
      </c>
      <c r="Q47" s="11">
        <v>-840</v>
      </c>
      <c r="R47" s="17">
        <v>-1070</v>
      </c>
    </row>
    <row r="48" spans="1:18" ht="15.6" x14ac:dyDescent="0.3">
      <c r="A48" s="47">
        <v>450</v>
      </c>
      <c r="B48" s="49">
        <v>500</v>
      </c>
      <c r="C48" s="16">
        <v>-1650</v>
      </c>
      <c r="D48" s="16">
        <v>-1650</v>
      </c>
      <c r="E48" s="16">
        <v>-1650</v>
      </c>
      <c r="F48" s="16">
        <v>-1650</v>
      </c>
      <c r="G48" s="16">
        <v>-1650</v>
      </c>
      <c r="H48" s="9">
        <v>-840</v>
      </c>
      <c r="I48" s="9">
        <v>-840</v>
      </c>
      <c r="J48" s="9">
        <v>-840</v>
      </c>
      <c r="K48" s="9">
        <v>-840</v>
      </c>
      <c r="L48" s="9">
        <v>-840</v>
      </c>
      <c r="M48" s="9">
        <v>-840</v>
      </c>
      <c r="N48" s="9">
        <v>-480</v>
      </c>
      <c r="O48" s="9">
        <v>-480</v>
      </c>
      <c r="P48" s="9">
        <v>-480</v>
      </c>
      <c r="Q48" s="9">
        <v>-480</v>
      </c>
      <c r="R48" s="10">
        <v>-480</v>
      </c>
    </row>
    <row r="49" spans="1:18" ht="16.2" thickBot="1" x14ac:dyDescent="0.35">
      <c r="A49" s="48"/>
      <c r="B49" s="50"/>
      <c r="C49" s="15">
        <v>-1805</v>
      </c>
      <c r="D49" s="15">
        <v>-1900</v>
      </c>
      <c r="E49" s="15">
        <v>-2050</v>
      </c>
      <c r="F49" s="15">
        <v>-2280</v>
      </c>
      <c r="G49" s="15">
        <v>-2620</v>
      </c>
      <c r="H49" s="11">
        <v>-937</v>
      </c>
      <c r="I49" s="11">
        <v>-995</v>
      </c>
      <c r="J49" s="15">
        <v>-1090</v>
      </c>
      <c r="K49" s="15">
        <v>-1240</v>
      </c>
      <c r="L49" s="15">
        <v>-1470</v>
      </c>
      <c r="M49" s="15">
        <v>-1810</v>
      </c>
      <c r="N49" s="11">
        <v>-577</v>
      </c>
      <c r="O49" s="11">
        <v>-635</v>
      </c>
      <c r="P49" s="11">
        <v>-730</v>
      </c>
      <c r="Q49" s="11">
        <v>-880</v>
      </c>
      <c r="R49" s="17">
        <v>-1110</v>
      </c>
    </row>
    <row r="50" spans="1:18" ht="16.2" thickBot="1" x14ac:dyDescent="0.35">
      <c r="A50" s="44" t="s">
        <v>54</v>
      </c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6"/>
    </row>
    <row r="51" spans="1:18" ht="19.2" customHeight="1" x14ac:dyDescent="0.3">
      <c r="A51" s="126" t="s">
        <v>55</v>
      </c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6"/>
    </row>
  </sheetData>
  <mergeCells count="53">
    <mergeCell ref="N1:R2"/>
    <mergeCell ref="A4:A5"/>
    <mergeCell ref="A6:A7"/>
    <mergeCell ref="B6:B7"/>
    <mergeCell ref="A8:A9"/>
    <mergeCell ref="B8:B9"/>
    <mergeCell ref="A1:B1"/>
    <mergeCell ref="A2:B2"/>
    <mergeCell ref="C1:G2"/>
    <mergeCell ref="H1:M2"/>
    <mergeCell ref="B4:B5"/>
    <mergeCell ref="A10:A11"/>
    <mergeCell ref="B10:B11"/>
    <mergeCell ref="A12:A13"/>
    <mergeCell ref="B12:B13"/>
    <mergeCell ref="A14:A15"/>
    <mergeCell ref="B14:B15"/>
    <mergeCell ref="A16:A17"/>
    <mergeCell ref="B16:B17"/>
    <mergeCell ref="A18:A19"/>
    <mergeCell ref="B18:B19"/>
    <mergeCell ref="A20:A21"/>
    <mergeCell ref="B20:B21"/>
    <mergeCell ref="A22:A23"/>
    <mergeCell ref="B22:B23"/>
    <mergeCell ref="A24:A25"/>
    <mergeCell ref="B24:B25"/>
    <mergeCell ref="A26:A27"/>
    <mergeCell ref="B26:B27"/>
    <mergeCell ref="A28:A29"/>
    <mergeCell ref="B28:B29"/>
    <mergeCell ref="A30:A31"/>
    <mergeCell ref="B30:B31"/>
    <mergeCell ref="A32:A33"/>
    <mergeCell ref="B32:B33"/>
    <mergeCell ref="A34:A35"/>
    <mergeCell ref="B34:B35"/>
    <mergeCell ref="A36:A37"/>
    <mergeCell ref="B36:B37"/>
    <mergeCell ref="A38:A39"/>
    <mergeCell ref="B38:B39"/>
    <mergeCell ref="A51:R51"/>
    <mergeCell ref="A40:A41"/>
    <mergeCell ref="B40:B41"/>
    <mergeCell ref="A42:A43"/>
    <mergeCell ref="B42:B43"/>
    <mergeCell ref="A44:A45"/>
    <mergeCell ref="B44:B45"/>
    <mergeCell ref="A46:A47"/>
    <mergeCell ref="B46:B47"/>
    <mergeCell ref="A48:A49"/>
    <mergeCell ref="B48:B49"/>
    <mergeCell ref="A50:R50"/>
  </mergeCells>
  <phoneticPr fontId="7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C0EF5-53FD-46E9-B5A9-CD00B98B446D}">
  <dimension ref="A1:Q47"/>
  <sheetViews>
    <sheetView topLeftCell="A24" workbookViewId="0">
      <selection activeCell="C10" sqref="C10:H15"/>
    </sheetView>
  </sheetViews>
  <sheetFormatPr defaultRowHeight="16.2" x14ac:dyDescent="0.3"/>
  <cols>
    <col min="1" max="16384" width="9" style="22"/>
  </cols>
  <sheetData>
    <row r="1" spans="1:17" ht="16.8" thickTop="1" x14ac:dyDescent="0.3">
      <c r="A1" s="65" t="s">
        <v>9</v>
      </c>
      <c r="B1" s="66"/>
      <c r="C1" s="67" t="s">
        <v>10</v>
      </c>
      <c r="D1" s="68"/>
      <c r="E1" s="68"/>
      <c r="F1" s="68"/>
      <c r="G1" s="68"/>
      <c r="H1" s="86"/>
      <c r="I1" s="67" t="s">
        <v>8</v>
      </c>
      <c r="J1" s="68"/>
      <c r="K1" s="68"/>
      <c r="L1" s="68"/>
      <c r="M1" s="68"/>
      <c r="N1" s="68"/>
      <c r="O1" s="68"/>
      <c r="P1" s="68"/>
      <c r="Q1" s="69"/>
    </row>
    <row r="2" spans="1:17" ht="16.8" thickBot="1" x14ac:dyDescent="0.35">
      <c r="A2" s="61" t="s">
        <v>1</v>
      </c>
      <c r="B2" s="62"/>
      <c r="C2" s="70"/>
      <c r="D2" s="71"/>
      <c r="E2" s="71"/>
      <c r="F2" s="71"/>
      <c r="G2" s="71"/>
      <c r="H2" s="62"/>
      <c r="I2" s="70"/>
      <c r="J2" s="71"/>
      <c r="K2" s="71"/>
      <c r="L2" s="71"/>
      <c r="M2" s="71"/>
      <c r="N2" s="71"/>
      <c r="O2" s="71"/>
      <c r="P2" s="71"/>
      <c r="Q2" s="72"/>
    </row>
    <row r="3" spans="1:17" ht="16.8" thickBot="1" x14ac:dyDescent="0.35">
      <c r="A3" s="21" t="s">
        <v>3</v>
      </c>
      <c r="B3" s="20" t="s">
        <v>4</v>
      </c>
      <c r="C3" s="1">
        <v>5</v>
      </c>
      <c r="D3" s="1">
        <v>6</v>
      </c>
      <c r="E3" s="1">
        <v>7</v>
      </c>
      <c r="F3" s="1">
        <v>8</v>
      </c>
      <c r="G3" s="1">
        <v>9</v>
      </c>
      <c r="H3" s="1">
        <v>10</v>
      </c>
      <c r="I3" s="1">
        <v>5</v>
      </c>
      <c r="J3" s="1">
        <v>6</v>
      </c>
      <c r="K3" s="1">
        <v>7</v>
      </c>
      <c r="L3" s="1">
        <v>8</v>
      </c>
      <c r="M3" s="1">
        <v>9</v>
      </c>
      <c r="N3" s="1">
        <v>10</v>
      </c>
      <c r="O3" s="1">
        <v>11</v>
      </c>
      <c r="P3" s="1">
        <v>12</v>
      </c>
      <c r="Q3" s="19">
        <v>13</v>
      </c>
    </row>
    <row r="4" spans="1:17" x14ac:dyDescent="0.3">
      <c r="A4" s="73" t="s">
        <v>5</v>
      </c>
      <c r="B4" s="49">
        <v>3</v>
      </c>
      <c r="C4" s="23">
        <v>-34</v>
      </c>
      <c r="D4" s="23">
        <v>-34</v>
      </c>
      <c r="E4" s="23">
        <v>-34</v>
      </c>
      <c r="F4" s="23">
        <v>-34</v>
      </c>
      <c r="G4" s="23">
        <v>-34</v>
      </c>
      <c r="H4" s="23">
        <v>-34</v>
      </c>
      <c r="I4" s="23">
        <v>-20</v>
      </c>
      <c r="J4" s="23">
        <v>-20</v>
      </c>
      <c r="K4" s="23">
        <v>-20</v>
      </c>
      <c r="L4" s="23">
        <v>-20</v>
      </c>
      <c r="M4" s="23">
        <v>-20</v>
      </c>
      <c r="N4" s="23">
        <v>-20</v>
      </c>
      <c r="O4" s="23">
        <v>-20</v>
      </c>
      <c r="P4" s="23">
        <v>-20</v>
      </c>
      <c r="Q4" s="24">
        <v>-20</v>
      </c>
    </row>
    <row r="5" spans="1:17" ht="16.8" thickBot="1" x14ac:dyDescent="0.35">
      <c r="A5" s="74"/>
      <c r="B5" s="50"/>
      <c r="C5" s="1">
        <v>-38</v>
      </c>
      <c r="D5" s="1">
        <v>-40</v>
      </c>
      <c r="E5" s="1">
        <v>-44</v>
      </c>
      <c r="F5" s="1">
        <v>-48</v>
      </c>
      <c r="G5" s="1">
        <v>-59</v>
      </c>
      <c r="H5" s="1">
        <v>-74</v>
      </c>
      <c r="I5" s="1">
        <v>-24</v>
      </c>
      <c r="J5" s="1">
        <v>-26</v>
      </c>
      <c r="K5" s="1">
        <v>-30</v>
      </c>
      <c r="L5" s="1">
        <v>-34</v>
      </c>
      <c r="M5" s="1">
        <v>-45</v>
      </c>
      <c r="N5" s="1">
        <v>-60</v>
      </c>
      <c r="O5" s="1">
        <v>-80</v>
      </c>
      <c r="P5" s="1">
        <v>-120</v>
      </c>
      <c r="Q5" s="19">
        <v>-160</v>
      </c>
    </row>
    <row r="6" spans="1:17" x14ac:dyDescent="0.3">
      <c r="A6" s="47">
        <v>3</v>
      </c>
      <c r="B6" s="49">
        <v>6</v>
      </c>
      <c r="C6" s="23">
        <v>-46</v>
      </c>
      <c r="D6" s="23">
        <v>-46</v>
      </c>
      <c r="E6" s="23">
        <v>-46</v>
      </c>
      <c r="F6" s="23">
        <v>-46</v>
      </c>
      <c r="G6" s="23">
        <v>-46</v>
      </c>
      <c r="H6" s="23">
        <v>-46</v>
      </c>
      <c r="I6" s="23">
        <v>-30</v>
      </c>
      <c r="J6" s="23">
        <v>-30</v>
      </c>
      <c r="K6" s="23">
        <v>-30</v>
      </c>
      <c r="L6" s="23">
        <v>-30</v>
      </c>
      <c r="M6" s="23">
        <v>-30</v>
      </c>
      <c r="N6" s="23">
        <v>-30</v>
      </c>
      <c r="O6" s="23">
        <v>-30</v>
      </c>
      <c r="P6" s="23">
        <v>-30</v>
      </c>
      <c r="Q6" s="24">
        <v>-30</v>
      </c>
    </row>
    <row r="7" spans="1:17" ht="16.8" thickBot="1" x14ac:dyDescent="0.35">
      <c r="A7" s="48"/>
      <c r="B7" s="50"/>
      <c r="C7" s="1">
        <v>-51</v>
      </c>
      <c r="D7" s="1">
        <v>-54</v>
      </c>
      <c r="E7" s="1">
        <v>-58</v>
      </c>
      <c r="F7" s="1">
        <v>-64</v>
      </c>
      <c r="G7" s="1">
        <v>-76</v>
      </c>
      <c r="H7" s="1">
        <v>-94</v>
      </c>
      <c r="I7" s="1">
        <v>-35</v>
      </c>
      <c r="J7" s="1">
        <v>-38</v>
      </c>
      <c r="K7" s="1">
        <v>-42</v>
      </c>
      <c r="L7" s="1">
        <v>-48</v>
      </c>
      <c r="M7" s="1">
        <v>-60</v>
      </c>
      <c r="N7" s="1">
        <v>-78</v>
      </c>
      <c r="O7" s="1">
        <v>-105</v>
      </c>
      <c r="P7" s="1">
        <v>-150</v>
      </c>
      <c r="Q7" s="19">
        <v>-210</v>
      </c>
    </row>
    <row r="8" spans="1:17" x14ac:dyDescent="0.3">
      <c r="A8" s="47">
        <v>6</v>
      </c>
      <c r="B8" s="49">
        <v>10</v>
      </c>
      <c r="C8" s="23">
        <v>-56</v>
      </c>
      <c r="D8" s="23">
        <v>-56</v>
      </c>
      <c r="E8" s="23">
        <v>-56</v>
      </c>
      <c r="F8" s="23">
        <v>-56</v>
      </c>
      <c r="G8" s="23">
        <v>-56</v>
      </c>
      <c r="H8" s="23">
        <v>-56</v>
      </c>
      <c r="I8" s="23">
        <v>-40</v>
      </c>
      <c r="J8" s="23">
        <v>-40</v>
      </c>
      <c r="K8" s="23">
        <v>-40</v>
      </c>
      <c r="L8" s="23">
        <v>-40</v>
      </c>
      <c r="M8" s="23">
        <v>-40</v>
      </c>
      <c r="N8" s="23">
        <v>-40</v>
      </c>
      <c r="O8" s="23">
        <v>-40</v>
      </c>
      <c r="P8" s="23">
        <v>-40</v>
      </c>
      <c r="Q8" s="24">
        <v>-40</v>
      </c>
    </row>
    <row r="9" spans="1:17" ht="16.8" thickBot="1" x14ac:dyDescent="0.35">
      <c r="A9" s="48"/>
      <c r="B9" s="50"/>
      <c r="C9" s="1">
        <v>-62</v>
      </c>
      <c r="D9" s="1">
        <v>-65</v>
      </c>
      <c r="E9" s="1">
        <v>-71</v>
      </c>
      <c r="F9" s="1">
        <v>-78</v>
      </c>
      <c r="G9" s="1">
        <v>-92</v>
      </c>
      <c r="H9" s="1">
        <v>-114</v>
      </c>
      <c r="I9" s="1">
        <v>-46</v>
      </c>
      <c r="J9" s="1">
        <v>-49</v>
      </c>
      <c r="K9" s="1">
        <v>-55</v>
      </c>
      <c r="L9" s="1">
        <v>-62</v>
      </c>
      <c r="M9" s="1">
        <v>-76</v>
      </c>
      <c r="N9" s="1">
        <v>-98</v>
      </c>
      <c r="O9" s="1">
        <v>-130</v>
      </c>
      <c r="P9" s="1">
        <v>-190</v>
      </c>
      <c r="Q9" s="19">
        <v>-260</v>
      </c>
    </row>
    <row r="10" spans="1:17" x14ac:dyDescent="0.3">
      <c r="A10" s="47">
        <v>10</v>
      </c>
      <c r="B10" s="49">
        <v>18</v>
      </c>
      <c r="C10" s="25">
        <v>-70</v>
      </c>
      <c r="D10" s="25">
        <v>-70</v>
      </c>
      <c r="E10" s="25">
        <v>-70</v>
      </c>
      <c r="F10" s="25">
        <v>-70</v>
      </c>
      <c r="G10" s="25">
        <v>-70</v>
      </c>
      <c r="H10" s="25">
        <v>-70</v>
      </c>
      <c r="I10" s="23">
        <v>-50</v>
      </c>
      <c r="J10" s="23">
        <v>-50</v>
      </c>
      <c r="K10" s="23">
        <v>-50</v>
      </c>
      <c r="L10" s="23">
        <v>-50</v>
      </c>
      <c r="M10" s="23">
        <v>-50</v>
      </c>
      <c r="N10" s="23">
        <v>-50</v>
      </c>
      <c r="O10" s="23">
        <v>-50</v>
      </c>
      <c r="P10" s="23">
        <v>-50</v>
      </c>
      <c r="Q10" s="24">
        <v>-50</v>
      </c>
    </row>
    <row r="11" spans="1:17" ht="16.8" thickBot="1" x14ac:dyDescent="0.35">
      <c r="A11" s="48"/>
      <c r="B11" s="50"/>
      <c r="C11" s="26">
        <v>-78</v>
      </c>
      <c r="D11" s="26">
        <v>-81</v>
      </c>
      <c r="E11" s="26">
        <v>-88</v>
      </c>
      <c r="F11" s="26">
        <v>-97</v>
      </c>
      <c r="G11" s="26">
        <v>-113</v>
      </c>
      <c r="H11" s="26">
        <v>-140</v>
      </c>
      <c r="I11" s="1">
        <v>-58</v>
      </c>
      <c r="J11" s="1">
        <v>-61</v>
      </c>
      <c r="K11" s="1">
        <v>-68</v>
      </c>
      <c r="L11" s="1">
        <v>-77</v>
      </c>
      <c r="M11" s="1">
        <v>-93</v>
      </c>
      <c r="N11" s="1">
        <v>-120</v>
      </c>
      <c r="O11" s="1">
        <v>-160</v>
      </c>
      <c r="P11" s="1">
        <v>-230</v>
      </c>
      <c r="Q11" s="19">
        <v>-320</v>
      </c>
    </row>
    <row r="12" spans="1:17" x14ac:dyDescent="0.3">
      <c r="A12" s="47">
        <v>18</v>
      </c>
      <c r="B12" s="49">
        <v>30</v>
      </c>
      <c r="C12" s="25">
        <v>-85</v>
      </c>
      <c r="D12" s="25">
        <v>-85</v>
      </c>
      <c r="E12" s="25">
        <v>-85</v>
      </c>
      <c r="F12" s="25">
        <v>-85</v>
      </c>
      <c r="G12" s="25">
        <v>-85</v>
      </c>
      <c r="H12" s="25">
        <v>-85</v>
      </c>
      <c r="I12" s="23">
        <v>-65</v>
      </c>
      <c r="J12" s="23">
        <v>-65</v>
      </c>
      <c r="K12" s="23">
        <v>-65</v>
      </c>
      <c r="L12" s="23">
        <v>-65</v>
      </c>
      <c r="M12" s="23">
        <v>-65</v>
      </c>
      <c r="N12" s="23">
        <v>-65</v>
      </c>
      <c r="O12" s="23">
        <v>-65</v>
      </c>
      <c r="P12" s="23">
        <v>-65</v>
      </c>
      <c r="Q12" s="24">
        <v>-65</v>
      </c>
    </row>
    <row r="13" spans="1:17" ht="16.8" thickBot="1" x14ac:dyDescent="0.35">
      <c r="A13" s="48"/>
      <c r="B13" s="50"/>
      <c r="C13" s="26">
        <v>-94</v>
      </c>
      <c r="D13" s="26">
        <v>-98</v>
      </c>
      <c r="E13" s="26">
        <v>-106</v>
      </c>
      <c r="F13" s="26">
        <v>-118</v>
      </c>
      <c r="G13" s="26">
        <v>-137</v>
      </c>
      <c r="H13" s="26">
        <v>-169</v>
      </c>
      <c r="I13" s="1">
        <v>-74</v>
      </c>
      <c r="J13" s="1">
        <v>-78</v>
      </c>
      <c r="K13" s="1">
        <v>-86</v>
      </c>
      <c r="L13" s="1">
        <v>-98</v>
      </c>
      <c r="M13" s="1">
        <v>-117</v>
      </c>
      <c r="N13" s="1">
        <v>-149</v>
      </c>
      <c r="O13" s="1">
        <v>-195</v>
      </c>
      <c r="P13" s="1">
        <v>-275</v>
      </c>
      <c r="Q13" s="19">
        <v>-395</v>
      </c>
    </row>
    <row r="14" spans="1:17" x14ac:dyDescent="0.3">
      <c r="A14" s="47">
        <v>30</v>
      </c>
      <c r="B14" s="49">
        <v>50</v>
      </c>
      <c r="C14" s="25">
        <v>-100</v>
      </c>
      <c r="D14" s="25">
        <v>-100</v>
      </c>
      <c r="E14" s="25">
        <v>-100</v>
      </c>
      <c r="F14" s="25">
        <v>-100</v>
      </c>
      <c r="G14" s="25">
        <v>-100</v>
      </c>
      <c r="H14" s="25">
        <v>-100</v>
      </c>
      <c r="I14" s="23">
        <v>-80</v>
      </c>
      <c r="J14" s="23">
        <v>-80</v>
      </c>
      <c r="K14" s="23">
        <v>-80</v>
      </c>
      <c r="L14" s="23">
        <v>-80</v>
      </c>
      <c r="M14" s="23">
        <v>-80</v>
      </c>
      <c r="N14" s="23">
        <v>-80</v>
      </c>
      <c r="O14" s="23">
        <v>-80</v>
      </c>
      <c r="P14" s="23">
        <v>-80</v>
      </c>
      <c r="Q14" s="24">
        <v>-80</v>
      </c>
    </row>
    <row r="15" spans="1:17" ht="16.8" thickBot="1" x14ac:dyDescent="0.35">
      <c r="A15" s="48"/>
      <c r="B15" s="50"/>
      <c r="C15" s="26">
        <v>-111</v>
      </c>
      <c r="D15" s="26">
        <v>-116</v>
      </c>
      <c r="E15" s="26">
        <v>-125</v>
      </c>
      <c r="F15" s="26">
        <v>-139</v>
      </c>
      <c r="G15" s="26">
        <v>-162</v>
      </c>
      <c r="H15" s="26">
        <v>-200</v>
      </c>
      <c r="I15" s="1">
        <v>-91</v>
      </c>
      <c r="J15" s="1">
        <v>-96</v>
      </c>
      <c r="K15" s="1">
        <v>-105</v>
      </c>
      <c r="L15" s="1">
        <v>-119</v>
      </c>
      <c r="M15" s="1">
        <v>-142</v>
      </c>
      <c r="N15" s="1">
        <v>-180</v>
      </c>
      <c r="O15" s="1">
        <v>-240</v>
      </c>
      <c r="P15" s="1">
        <v>-330</v>
      </c>
      <c r="Q15" s="19">
        <v>-470</v>
      </c>
    </row>
    <row r="16" spans="1:17" x14ac:dyDescent="0.3">
      <c r="A16" s="47">
        <v>50</v>
      </c>
      <c r="B16" s="49">
        <v>80</v>
      </c>
      <c r="C16" s="75"/>
      <c r="D16" s="75"/>
      <c r="E16" s="75"/>
      <c r="F16" s="75"/>
      <c r="G16" s="75"/>
      <c r="H16" s="75"/>
      <c r="I16" s="23">
        <v>-100</v>
      </c>
      <c r="J16" s="23">
        <v>-100</v>
      </c>
      <c r="K16" s="23">
        <v>-100</v>
      </c>
      <c r="L16" s="23">
        <v>-100</v>
      </c>
      <c r="M16" s="23">
        <v>-100</v>
      </c>
      <c r="N16" s="23">
        <v>-100</v>
      </c>
      <c r="O16" s="23">
        <v>-100</v>
      </c>
      <c r="P16" s="23">
        <v>-100</v>
      </c>
      <c r="Q16" s="24">
        <v>-100</v>
      </c>
    </row>
    <row r="17" spans="1:17" ht="16.8" thickBot="1" x14ac:dyDescent="0.35">
      <c r="A17" s="48"/>
      <c r="B17" s="50"/>
      <c r="C17" s="76"/>
      <c r="D17" s="76"/>
      <c r="E17" s="76"/>
      <c r="F17" s="76"/>
      <c r="G17" s="76"/>
      <c r="H17" s="76"/>
      <c r="I17" s="1">
        <v>-113</v>
      </c>
      <c r="J17" s="1">
        <v>-119</v>
      </c>
      <c r="K17" s="1">
        <v>-130</v>
      </c>
      <c r="L17" s="1">
        <v>-146</v>
      </c>
      <c r="M17" s="1">
        <v>-174</v>
      </c>
      <c r="N17" s="1">
        <v>-220</v>
      </c>
      <c r="O17" s="1">
        <v>-290</v>
      </c>
      <c r="P17" s="1">
        <v>-400</v>
      </c>
      <c r="Q17" s="19">
        <v>-560</v>
      </c>
    </row>
    <row r="18" spans="1:17" x14ac:dyDescent="0.3">
      <c r="A18" s="47">
        <v>80</v>
      </c>
      <c r="B18" s="49">
        <v>120</v>
      </c>
      <c r="C18" s="75"/>
      <c r="D18" s="75"/>
      <c r="E18" s="75"/>
      <c r="F18" s="75"/>
      <c r="G18" s="75"/>
      <c r="H18" s="75"/>
      <c r="I18" s="23">
        <v>-120</v>
      </c>
      <c r="J18" s="23">
        <v>-120</v>
      </c>
      <c r="K18" s="23">
        <v>-120</v>
      </c>
      <c r="L18" s="23">
        <v>-120</v>
      </c>
      <c r="M18" s="23">
        <v>-120</v>
      </c>
      <c r="N18" s="23">
        <v>-120</v>
      </c>
      <c r="O18" s="23">
        <v>-120</v>
      </c>
      <c r="P18" s="23">
        <v>-120</v>
      </c>
      <c r="Q18" s="24">
        <v>-120</v>
      </c>
    </row>
    <row r="19" spans="1:17" ht="16.8" thickBot="1" x14ac:dyDescent="0.35">
      <c r="A19" s="48"/>
      <c r="B19" s="50"/>
      <c r="C19" s="76"/>
      <c r="D19" s="76"/>
      <c r="E19" s="76"/>
      <c r="F19" s="76"/>
      <c r="G19" s="76"/>
      <c r="H19" s="76"/>
      <c r="I19" s="1">
        <v>-135</v>
      </c>
      <c r="J19" s="1">
        <v>-142</v>
      </c>
      <c r="K19" s="1">
        <v>-155</v>
      </c>
      <c r="L19" s="1">
        <v>-174</v>
      </c>
      <c r="M19" s="1">
        <v>-207</v>
      </c>
      <c r="N19" s="1">
        <v>-260</v>
      </c>
      <c r="O19" s="1">
        <v>-340</v>
      </c>
      <c r="P19" s="1">
        <v>-470</v>
      </c>
      <c r="Q19" s="19">
        <v>-660</v>
      </c>
    </row>
    <row r="20" spans="1:17" x14ac:dyDescent="0.3">
      <c r="A20" s="47">
        <v>120</v>
      </c>
      <c r="B20" s="49">
        <v>180</v>
      </c>
      <c r="C20" s="75"/>
      <c r="D20" s="75"/>
      <c r="E20" s="75"/>
      <c r="F20" s="75"/>
      <c r="G20" s="75"/>
      <c r="H20" s="75"/>
      <c r="I20" s="23">
        <v>-145</v>
      </c>
      <c r="J20" s="23">
        <v>-145</v>
      </c>
      <c r="K20" s="23">
        <v>-145</v>
      </c>
      <c r="L20" s="23">
        <v>-145</v>
      </c>
      <c r="M20" s="23">
        <v>-145</v>
      </c>
      <c r="N20" s="23">
        <v>-145</v>
      </c>
      <c r="O20" s="23">
        <v>-145</v>
      </c>
      <c r="P20" s="23">
        <v>-145</v>
      </c>
      <c r="Q20" s="24">
        <v>-145</v>
      </c>
    </row>
    <row r="21" spans="1:17" ht="16.8" thickBot="1" x14ac:dyDescent="0.35">
      <c r="A21" s="48"/>
      <c r="B21" s="50"/>
      <c r="C21" s="76"/>
      <c r="D21" s="76"/>
      <c r="E21" s="76"/>
      <c r="F21" s="76"/>
      <c r="G21" s="76"/>
      <c r="H21" s="76"/>
      <c r="I21" s="1">
        <v>-163</v>
      </c>
      <c r="J21" s="1">
        <v>-170</v>
      </c>
      <c r="K21" s="1">
        <v>-185</v>
      </c>
      <c r="L21" s="1">
        <v>-208</v>
      </c>
      <c r="M21" s="1">
        <v>-245</v>
      </c>
      <c r="N21" s="1">
        <v>-305</v>
      </c>
      <c r="O21" s="1">
        <v>-395</v>
      </c>
      <c r="P21" s="1">
        <v>-545</v>
      </c>
      <c r="Q21" s="19">
        <v>-775</v>
      </c>
    </row>
    <row r="22" spans="1:17" x14ac:dyDescent="0.3">
      <c r="A22" s="47">
        <v>180</v>
      </c>
      <c r="B22" s="49">
        <v>250</v>
      </c>
      <c r="C22" s="75"/>
      <c r="D22" s="75"/>
      <c r="E22" s="75"/>
      <c r="F22" s="75"/>
      <c r="G22" s="75"/>
      <c r="H22" s="75"/>
      <c r="I22" s="23">
        <v>-170</v>
      </c>
      <c r="J22" s="23">
        <v>-170</v>
      </c>
      <c r="K22" s="23">
        <v>-170</v>
      </c>
      <c r="L22" s="23">
        <v>-170</v>
      </c>
      <c r="M22" s="23">
        <v>-170</v>
      </c>
      <c r="N22" s="23">
        <v>-170</v>
      </c>
      <c r="O22" s="23">
        <v>-170</v>
      </c>
      <c r="P22" s="23">
        <v>-170</v>
      </c>
      <c r="Q22" s="24">
        <v>-170</v>
      </c>
    </row>
    <row r="23" spans="1:17" ht="16.8" thickBot="1" x14ac:dyDescent="0.35">
      <c r="A23" s="48"/>
      <c r="B23" s="50"/>
      <c r="C23" s="76"/>
      <c r="D23" s="76"/>
      <c r="E23" s="76"/>
      <c r="F23" s="76"/>
      <c r="G23" s="76"/>
      <c r="H23" s="76"/>
      <c r="I23" s="1">
        <v>-190</v>
      </c>
      <c r="J23" s="1">
        <v>-199</v>
      </c>
      <c r="K23" s="1">
        <v>-216</v>
      </c>
      <c r="L23" s="1">
        <v>-242</v>
      </c>
      <c r="M23" s="1">
        <v>-285</v>
      </c>
      <c r="N23" s="1">
        <v>-355</v>
      </c>
      <c r="O23" s="1">
        <v>-460</v>
      </c>
      <c r="P23" s="1">
        <v>-630</v>
      </c>
      <c r="Q23" s="19">
        <v>-890</v>
      </c>
    </row>
    <row r="24" spans="1:17" x14ac:dyDescent="0.3">
      <c r="A24" s="47">
        <v>250</v>
      </c>
      <c r="B24" s="49">
        <v>315</v>
      </c>
      <c r="C24" s="75"/>
      <c r="D24" s="75"/>
      <c r="E24" s="75"/>
      <c r="F24" s="75"/>
      <c r="G24" s="75"/>
      <c r="H24" s="75"/>
      <c r="I24" s="23">
        <v>-190</v>
      </c>
      <c r="J24" s="23">
        <v>-190</v>
      </c>
      <c r="K24" s="23">
        <v>-190</v>
      </c>
      <c r="L24" s="23">
        <v>-190</v>
      </c>
      <c r="M24" s="23">
        <v>-190</v>
      </c>
      <c r="N24" s="23">
        <v>-190</v>
      </c>
      <c r="O24" s="23">
        <v>-190</v>
      </c>
      <c r="P24" s="23">
        <v>-190</v>
      </c>
      <c r="Q24" s="24">
        <v>-190</v>
      </c>
    </row>
    <row r="25" spans="1:17" ht="16.8" thickBot="1" x14ac:dyDescent="0.35">
      <c r="A25" s="48"/>
      <c r="B25" s="50"/>
      <c r="C25" s="76"/>
      <c r="D25" s="76"/>
      <c r="E25" s="76"/>
      <c r="F25" s="76"/>
      <c r="G25" s="76"/>
      <c r="H25" s="76"/>
      <c r="I25" s="1">
        <v>-213</v>
      </c>
      <c r="J25" s="1">
        <v>-222</v>
      </c>
      <c r="K25" s="1">
        <v>-242</v>
      </c>
      <c r="L25" s="1">
        <v>-271</v>
      </c>
      <c r="M25" s="1">
        <v>-320</v>
      </c>
      <c r="N25" s="1">
        <v>-400</v>
      </c>
      <c r="O25" s="1">
        <v>-510</v>
      </c>
      <c r="P25" s="1">
        <v>-710</v>
      </c>
      <c r="Q25" s="27">
        <v>-1000</v>
      </c>
    </row>
    <row r="26" spans="1:17" x14ac:dyDescent="0.3">
      <c r="A26" s="47">
        <v>315</v>
      </c>
      <c r="B26" s="49">
        <v>400</v>
      </c>
      <c r="C26" s="75"/>
      <c r="D26" s="75"/>
      <c r="E26" s="75"/>
      <c r="F26" s="75"/>
      <c r="G26" s="75"/>
      <c r="H26" s="75"/>
      <c r="I26" s="23">
        <v>-210</v>
      </c>
      <c r="J26" s="23">
        <v>-210</v>
      </c>
      <c r="K26" s="23">
        <v>-210</v>
      </c>
      <c r="L26" s="23">
        <v>-210</v>
      </c>
      <c r="M26" s="23">
        <v>-210</v>
      </c>
      <c r="N26" s="23">
        <v>-210</v>
      </c>
      <c r="O26" s="23">
        <v>-210</v>
      </c>
      <c r="P26" s="23">
        <v>-210</v>
      </c>
      <c r="Q26" s="24">
        <v>-210</v>
      </c>
    </row>
    <row r="27" spans="1:17" ht="16.8" thickBot="1" x14ac:dyDescent="0.35">
      <c r="A27" s="48"/>
      <c r="B27" s="50"/>
      <c r="C27" s="76"/>
      <c r="D27" s="76"/>
      <c r="E27" s="76"/>
      <c r="F27" s="76"/>
      <c r="G27" s="76"/>
      <c r="H27" s="76"/>
      <c r="I27" s="1">
        <v>-235</v>
      </c>
      <c r="J27" s="1">
        <v>-246</v>
      </c>
      <c r="K27" s="1">
        <v>-267</v>
      </c>
      <c r="L27" s="1">
        <v>-299</v>
      </c>
      <c r="M27" s="1">
        <v>-350</v>
      </c>
      <c r="N27" s="1">
        <v>-440</v>
      </c>
      <c r="O27" s="1">
        <v>-570</v>
      </c>
      <c r="P27" s="1">
        <v>-780</v>
      </c>
      <c r="Q27" s="27">
        <v>-1100</v>
      </c>
    </row>
    <row r="28" spans="1:17" x14ac:dyDescent="0.3">
      <c r="A28" s="47">
        <v>400</v>
      </c>
      <c r="B28" s="49">
        <v>500</v>
      </c>
      <c r="C28" s="75"/>
      <c r="D28" s="75"/>
      <c r="E28" s="75"/>
      <c r="F28" s="75"/>
      <c r="G28" s="75"/>
      <c r="H28" s="75"/>
      <c r="I28" s="23">
        <v>-230</v>
      </c>
      <c r="J28" s="23">
        <v>-230</v>
      </c>
      <c r="K28" s="23">
        <v>-230</v>
      </c>
      <c r="L28" s="23">
        <v>-230</v>
      </c>
      <c r="M28" s="23">
        <v>-230</v>
      </c>
      <c r="N28" s="23">
        <v>-230</v>
      </c>
      <c r="O28" s="23">
        <v>-230</v>
      </c>
      <c r="P28" s="23">
        <v>-230</v>
      </c>
      <c r="Q28" s="24">
        <v>-230</v>
      </c>
    </row>
    <row r="29" spans="1:17" ht="16.8" thickBot="1" x14ac:dyDescent="0.35">
      <c r="A29" s="48"/>
      <c r="B29" s="50"/>
      <c r="C29" s="76"/>
      <c r="D29" s="76"/>
      <c r="E29" s="76"/>
      <c r="F29" s="76"/>
      <c r="G29" s="76"/>
      <c r="H29" s="76"/>
      <c r="I29" s="1">
        <v>-257</v>
      </c>
      <c r="J29" s="1">
        <v>-270</v>
      </c>
      <c r="K29" s="1">
        <v>-293</v>
      </c>
      <c r="L29" s="1">
        <v>-327</v>
      </c>
      <c r="M29" s="1">
        <v>-385</v>
      </c>
      <c r="N29" s="1">
        <v>-480</v>
      </c>
      <c r="O29" s="1">
        <v>-630</v>
      </c>
      <c r="P29" s="1">
        <v>-860</v>
      </c>
      <c r="Q29" s="27">
        <v>-1200</v>
      </c>
    </row>
    <row r="30" spans="1:17" x14ac:dyDescent="0.3">
      <c r="A30" s="47">
        <v>500</v>
      </c>
      <c r="B30" s="49">
        <v>630</v>
      </c>
      <c r="C30" s="75"/>
      <c r="D30" s="75"/>
      <c r="E30" s="75"/>
      <c r="F30" s="75"/>
      <c r="G30" s="75"/>
      <c r="H30" s="75"/>
      <c r="I30" s="75"/>
      <c r="J30" s="75"/>
      <c r="K30" s="23">
        <v>-260</v>
      </c>
      <c r="L30" s="23">
        <v>-260</v>
      </c>
      <c r="M30" s="23">
        <v>-260</v>
      </c>
      <c r="N30" s="23">
        <v>-260</v>
      </c>
      <c r="O30" s="23">
        <v>-260</v>
      </c>
      <c r="P30" s="75"/>
      <c r="Q30" s="77"/>
    </row>
    <row r="31" spans="1:17" ht="16.8" thickBot="1" x14ac:dyDescent="0.35">
      <c r="A31" s="48"/>
      <c r="B31" s="50"/>
      <c r="C31" s="76"/>
      <c r="D31" s="76"/>
      <c r="E31" s="76"/>
      <c r="F31" s="76"/>
      <c r="G31" s="76"/>
      <c r="H31" s="76"/>
      <c r="I31" s="76"/>
      <c r="J31" s="76"/>
      <c r="K31" s="1">
        <v>-330</v>
      </c>
      <c r="L31" s="1">
        <v>-370</v>
      </c>
      <c r="M31" s="1">
        <v>-435</v>
      </c>
      <c r="N31" s="1">
        <v>-540</v>
      </c>
      <c r="O31" s="1">
        <v>-700</v>
      </c>
      <c r="P31" s="76"/>
      <c r="Q31" s="78"/>
    </row>
    <row r="32" spans="1:17" x14ac:dyDescent="0.3">
      <c r="A32" s="47">
        <v>630</v>
      </c>
      <c r="B32" s="49">
        <v>800</v>
      </c>
      <c r="C32" s="75"/>
      <c r="D32" s="75"/>
      <c r="E32" s="75"/>
      <c r="F32" s="75"/>
      <c r="G32" s="75"/>
      <c r="H32" s="75"/>
      <c r="I32" s="75"/>
      <c r="J32" s="75"/>
      <c r="K32" s="23">
        <v>-290</v>
      </c>
      <c r="L32" s="23">
        <v>-290</v>
      </c>
      <c r="M32" s="23">
        <v>-290</v>
      </c>
      <c r="N32" s="23">
        <v>-290</v>
      </c>
      <c r="O32" s="23">
        <v>-290</v>
      </c>
      <c r="P32" s="75"/>
      <c r="Q32" s="77"/>
    </row>
    <row r="33" spans="1:17" ht="16.8" thickBot="1" x14ac:dyDescent="0.35">
      <c r="A33" s="48"/>
      <c r="B33" s="50"/>
      <c r="C33" s="76"/>
      <c r="D33" s="76"/>
      <c r="E33" s="76"/>
      <c r="F33" s="76"/>
      <c r="G33" s="76"/>
      <c r="H33" s="76"/>
      <c r="I33" s="76"/>
      <c r="J33" s="76"/>
      <c r="K33" s="1">
        <v>-370</v>
      </c>
      <c r="L33" s="1">
        <v>-415</v>
      </c>
      <c r="M33" s="1">
        <v>-490</v>
      </c>
      <c r="N33" s="1">
        <v>-610</v>
      </c>
      <c r="O33" s="1">
        <v>-790</v>
      </c>
      <c r="P33" s="76"/>
      <c r="Q33" s="78"/>
    </row>
    <row r="34" spans="1:17" x14ac:dyDescent="0.3">
      <c r="A34" s="47">
        <v>800</v>
      </c>
      <c r="B34" s="79">
        <v>1000</v>
      </c>
      <c r="C34" s="75"/>
      <c r="D34" s="75"/>
      <c r="E34" s="75"/>
      <c r="F34" s="75"/>
      <c r="G34" s="75"/>
      <c r="H34" s="75"/>
      <c r="I34" s="75"/>
      <c r="J34" s="75"/>
      <c r="K34" s="23">
        <v>-320</v>
      </c>
      <c r="L34" s="23">
        <v>-320</v>
      </c>
      <c r="M34" s="23">
        <v>-320</v>
      </c>
      <c r="N34" s="23">
        <v>-320</v>
      </c>
      <c r="O34" s="23">
        <v>-320</v>
      </c>
      <c r="P34" s="75"/>
      <c r="Q34" s="77"/>
    </row>
    <row r="35" spans="1:17" ht="16.8" thickBot="1" x14ac:dyDescent="0.35">
      <c r="A35" s="48"/>
      <c r="B35" s="80"/>
      <c r="C35" s="76"/>
      <c r="D35" s="76"/>
      <c r="E35" s="76"/>
      <c r="F35" s="76"/>
      <c r="G35" s="76"/>
      <c r="H35" s="76"/>
      <c r="I35" s="76"/>
      <c r="J35" s="76"/>
      <c r="K35" s="1">
        <v>-410</v>
      </c>
      <c r="L35" s="1">
        <v>-460</v>
      </c>
      <c r="M35" s="1">
        <v>-550</v>
      </c>
      <c r="N35" s="1">
        <v>-680</v>
      </c>
      <c r="O35" s="1">
        <v>-880</v>
      </c>
      <c r="P35" s="76"/>
      <c r="Q35" s="78"/>
    </row>
    <row r="36" spans="1:17" x14ac:dyDescent="0.3">
      <c r="A36" s="81">
        <v>1000</v>
      </c>
      <c r="B36" s="79">
        <v>1250</v>
      </c>
      <c r="C36" s="75"/>
      <c r="D36" s="75"/>
      <c r="E36" s="75"/>
      <c r="F36" s="75"/>
      <c r="G36" s="75"/>
      <c r="H36" s="75"/>
      <c r="I36" s="75"/>
      <c r="J36" s="75"/>
      <c r="K36" s="23">
        <v>-350</v>
      </c>
      <c r="L36" s="23">
        <v>-350</v>
      </c>
      <c r="M36" s="23">
        <v>-350</v>
      </c>
      <c r="N36" s="23">
        <v>-350</v>
      </c>
      <c r="O36" s="23">
        <v>-350</v>
      </c>
      <c r="P36" s="75"/>
      <c r="Q36" s="77"/>
    </row>
    <row r="37" spans="1:17" ht="16.8" thickBot="1" x14ac:dyDescent="0.35">
      <c r="A37" s="82"/>
      <c r="B37" s="80"/>
      <c r="C37" s="76"/>
      <c r="D37" s="76"/>
      <c r="E37" s="76"/>
      <c r="F37" s="76"/>
      <c r="G37" s="76"/>
      <c r="H37" s="76"/>
      <c r="I37" s="76"/>
      <c r="J37" s="76"/>
      <c r="K37" s="1">
        <v>-455</v>
      </c>
      <c r="L37" s="1">
        <v>-515</v>
      </c>
      <c r="M37" s="1">
        <v>-610</v>
      </c>
      <c r="N37" s="1">
        <v>-770</v>
      </c>
      <c r="O37" s="28">
        <v>-1010</v>
      </c>
      <c r="P37" s="76"/>
      <c r="Q37" s="78"/>
    </row>
    <row r="38" spans="1:17" x14ac:dyDescent="0.3">
      <c r="A38" s="81">
        <v>1250</v>
      </c>
      <c r="B38" s="79">
        <v>1600</v>
      </c>
      <c r="C38" s="75"/>
      <c r="D38" s="75"/>
      <c r="E38" s="75"/>
      <c r="F38" s="75"/>
      <c r="G38" s="75"/>
      <c r="H38" s="75"/>
      <c r="I38" s="75"/>
      <c r="J38" s="75"/>
      <c r="K38" s="23">
        <v>-390</v>
      </c>
      <c r="L38" s="23">
        <v>-390</v>
      </c>
      <c r="M38" s="23">
        <v>-390</v>
      </c>
      <c r="N38" s="23">
        <v>-390</v>
      </c>
      <c r="O38" s="23">
        <v>-390</v>
      </c>
      <c r="P38" s="75"/>
      <c r="Q38" s="77"/>
    </row>
    <row r="39" spans="1:17" ht="16.8" thickBot="1" x14ac:dyDescent="0.35">
      <c r="A39" s="82"/>
      <c r="B39" s="80"/>
      <c r="C39" s="76"/>
      <c r="D39" s="76"/>
      <c r="E39" s="76"/>
      <c r="F39" s="76"/>
      <c r="G39" s="76"/>
      <c r="H39" s="76"/>
      <c r="I39" s="76"/>
      <c r="J39" s="76"/>
      <c r="K39" s="1">
        <v>-515</v>
      </c>
      <c r="L39" s="1">
        <v>-585</v>
      </c>
      <c r="M39" s="1">
        <v>-700</v>
      </c>
      <c r="N39" s="1">
        <v>-890</v>
      </c>
      <c r="O39" s="28">
        <v>-1170</v>
      </c>
      <c r="P39" s="76"/>
      <c r="Q39" s="78"/>
    </row>
    <row r="40" spans="1:17" x14ac:dyDescent="0.3">
      <c r="A40" s="81">
        <v>1600</v>
      </c>
      <c r="B40" s="79">
        <v>2000</v>
      </c>
      <c r="C40" s="75"/>
      <c r="D40" s="75"/>
      <c r="E40" s="75"/>
      <c r="F40" s="75"/>
      <c r="G40" s="75"/>
      <c r="H40" s="75"/>
      <c r="I40" s="75"/>
      <c r="J40" s="75"/>
      <c r="K40" s="23">
        <v>-430</v>
      </c>
      <c r="L40" s="23">
        <v>-430</v>
      </c>
      <c r="M40" s="23">
        <v>-430</v>
      </c>
      <c r="N40" s="23">
        <v>-430</v>
      </c>
      <c r="O40" s="23">
        <v>-430</v>
      </c>
      <c r="P40" s="75"/>
      <c r="Q40" s="77"/>
    </row>
    <row r="41" spans="1:17" ht="16.8" thickBot="1" x14ac:dyDescent="0.35">
      <c r="A41" s="82"/>
      <c r="B41" s="80"/>
      <c r="C41" s="76"/>
      <c r="D41" s="76"/>
      <c r="E41" s="76"/>
      <c r="F41" s="76"/>
      <c r="G41" s="76"/>
      <c r="H41" s="76"/>
      <c r="I41" s="76"/>
      <c r="J41" s="76"/>
      <c r="K41" s="1">
        <v>-580</v>
      </c>
      <c r="L41" s="1">
        <v>-660</v>
      </c>
      <c r="M41" s="1">
        <v>-800</v>
      </c>
      <c r="N41" s="28">
        <v>-1030</v>
      </c>
      <c r="O41" s="28">
        <v>-1350</v>
      </c>
      <c r="P41" s="76"/>
      <c r="Q41" s="78"/>
    </row>
    <row r="42" spans="1:17" x14ac:dyDescent="0.3">
      <c r="A42" s="81">
        <v>2000</v>
      </c>
      <c r="B42" s="79">
        <v>2500</v>
      </c>
      <c r="C42" s="75"/>
      <c r="D42" s="75"/>
      <c r="E42" s="75"/>
      <c r="F42" s="75"/>
      <c r="G42" s="75"/>
      <c r="H42" s="75"/>
      <c r="I42" s="75"/>
      <c r="J42" s="75"/>
      <c r="K42" s="23">
        <v>-480</v>
      </c>
      <c r="L42" s="23">
        <v>-480</v>
      </c>
      <c r="M42" s="23">
        <v>-480</v>
      </c>
      <c r="N42" s="23">
        <v>-480</v>
      </c>
      <c r="O42" s="23">
        <v>-480</v>
      </c>
      <c r="P42" s="75"/>
      <c r="Q42" s="77"/>
    </row>
    <row r="43" spans="1:17" ht="16.8" thickBot="1" x14ac:dyDescent="0.35">
      <c r="A43" s="82"/>
      <c r="B43" s="80"/>
      <c r="C43" s="76"/>
      <c r="D43" s="76"/>
      <c r="E43" s="76"/>
      <c r="F43" s="76"/>
      <c r="G43" s="76"/>
      <c r="H43" s="76"/>
      <c r="I43" s="76"/>
      <c r="J43" s="76"/>
      <c r="K43" s="1">
        <v>-655</v>
      </c>
      <c r="L43" s="1">
        <v>-760</v>
      </c>
      <c r="M43" s="1">
        <v>-920</v>
      </c>
      <c r="N43" s="28">
        <v>-1180</v>
      </c>
      <c r="O43" s="28">
        <v>-1580</v>
      </c>
      <c r="P43" s="76"/>
      <c r="Q43" s="78"/>
    </row>
    <row r="44" spans="1:17" x14ac:dyDescent="0.3">
      <c r="A44" s="81">
        <v>2500</v>
      </c>
      <c r="B44" s="79">
        <v>3150</v>
      </c>
      <c r="C44" s="75"/>
      <c r="D44" s="75"/>
      <c r="E44" s="75"/>
      <c r="F44" s="75"/>
      <c r="G44" s="75"/>
      <c r="H44" s="75"/>
      <c r="I44" s="75"/>
      <c r="J44" s="75"/>
      <c r="K44" s="23">
        <v>-520</v>
      </c>
      <c r="L44" s="23">
        <v>-520</v>
      </c>
      <c r="M44" s="23">
        <v>-520</v>
      </c>
      <c r="N44" s="23">
        <v>-520</v>
      </c>
      <c r="O44" s="23">
        <v>-520</v>
      </c>
      <c r="P44" s="75"/>
      <c r="Q44" s="77"/>
    </row>
    <row r="45" spans="1:17" ht="16.8" thickBot="1" x14ac:dyDescent="0.35">
      <c r="A45" s="82"/>
      <c r="B45" s="80"/>
      <c r="C45" s="76"/>
      <c r="D45" s="76"/>
      <c r="E45" s="76"/>
      <c r="F45" s="76"/>
      <c r="G45" s="76"/>
      <c r="H45" s="76"/>
      <c r="I45" s="76"/>
      <c r="J45" s="76"/>
      <c r="K45" s="1">
        <v>-730</v>
      </c>
      <c r="L45" s="1">
        <v>-850</v>
      </c>
      <c r="M45" s="28">
        <v>-1060</v>
      </c>
      <c r="N45" s="28">
        <v>-1380</v>
      </c>
      <c r="O45" s="28">
        <v>-1870</v>
      </c>
      <c r="P45" s="76"/>
      <c r="Q45" s="78"/>
    </row>
    <row r="46" spans="1:17" ht="16.8" thickBot="1" x14ac:dyDescent="0.35">
      <c r="A46" s="83" t="s">
        <v>56</v>
      </c>
      <c r="B46" s="84"/>
      <c r="C46" s="84"/>
      <c r="D46" s="84"/>
      <c r="E46" s="84"/>
      <c r="F46" s="84"/>
      <c r="G46" s="84"/>
      <c r="H46" s="84"/>
      <c r="I46" s="84"/>
      <c r="J46" s="84"/>
      <c r="K46" s="84"/>
      <c r="L46" s="84"/>
      <c r="M46" s="84"/>
      <c r="N46" s="84"/>
      <c r="O46" s="84"/>
      <c r="P46" s="84"/>
      <c r="Q46" s="85"/>
    </row>
    <row r="47" spans="1:17" ht="16.8" thickTop="1" x14ac:dyDescent="0.3"/>
  </sheetData>
  <mergeCells count="169">
    <mergeCell ref="Q44:Q45"/>
    <mergeCell ref="A46:Q46"/>
    <mergeCell ref="C1:H2"/>
    <mergeCell ref="F44:F45"/>
    <mergeCell ref="G44:G45"/>
    <mergeCell ref="H44:H45"/>
    <mergeCell ref="I44:I45"/>
    <mergeCell ref="J44:J45"/>
    <mergeCell ref="P44:P45"/>
    <mergeCell ref="H42:H43"/>
    <mergeCell ref="I42:I43"/>
    <mergeCell ref="J42:J43"/>
    <mergeCell ref="P42:P43"/>
    <mergeCell ref="Q42:Q43"/>
    <mergeCell ref="A44:A45"/>
    <mergeCell ref="B44:B45"/>
    <mergeCell ref="C44:C45"/>
    <mergeCell ref="D44:D45"/>
    <mergeCell ref="E44:E45"/>
    <mergeCell ref="J40:J41"/>
    <mergeCell ref="P40:P41"/>
    <mergeCell ref="Q40:Q41"/>
    <mergeCell ref="A42:A43"/>
    <mergeCell ref="B42:B43"/>
    <mergeCell ref="G42:G43"/>
    <mergeCell ref="Q38:Q39"/>
    <mergeCell ref="A40:A41"/>
    <mergeCell ref="B40:B41"/>
    <mergeCell ref="C40:C41"/>
    <mergeCell ref="D40:D41"/>
    <mergeCell ref="E40:E41"/>
    <mergeCell ref="F40:F41"/>
    <mergeCell ref="G40:G41"/>
    <mergeCell ref="H40:H41"/>
    <mergeCell ref="I40:I41"/>
    <mergeCell ref="F38:F39"/>
    <mergeCell ref="G38:G39"/>
    <mergeCell ref="H38:H39"/>
    <mergeCell ref="I38:I39"/>
    <mergeCell ref="J38:J39"/>
    <mergeCell ref="P38:P39"/>
    <mergeCell ref="A38:A39"/>
    <mergeCell ref="B38:B39"/>
    <mergeCell ref="C38:C39"/>
    <mergeCell ref="D38:D39"/>
    <mergeCell ref="E38:E39"/>
    <mergeCell ref="C42:C43"/>
    <mergeCell ref="D42:D43"/>
    <mergeCell ref="E42:E43"/>
    <mergeCell ref="F42:F43"/>
    <mergeCell ref="J34:J35"/>
    <mergeCell ref="P34:P35"/>
    <mergeCell ref="Q34:Q35"/>
    <mergeCell ref="A36:A37"/>
    <mergeCell ref="B36:B37"/>
    <mergeCell ref="C36:C37"/>
    <mergeCell ref="D36:D37"/>
    <mergeCell ref="E36:E37"/>
    <mergeCell ref="F36:F37"/>
    <mergeCell ref="G36:G37"/>
    <mergeCell ref="H36:H37"/>
    <mergeCell ref="I36:I37"/>
    <mergeCell ref="J36:J37"/>
    <mergeCell ref="P36:P37"/>
    <mergeCell ref="Q36:Q37"/>
    <mergeCell ref="A34:A35"/>
    <mergeCell ref="B34:B35"/>
    <mergeCell ref="C34:C35"/>
    <mergeCell ref="D34:D35"/>
    <mergeCell ref="E34:E35"/>
    <mergeCell ref="F34:F35"/>
    <mergeCell ref="G34:G35"/>
    <mergeCell ref="H34:H35"/>
    <mergeCell ref="I34:I35"/>
    <mergeCell ref="I30:I31"/>
    <mergeCell ref="J30:J31"/>
    <mergeCell ref="P30:P31"/>
    <mergeCell ref="Q30:Q31"/>
    <mergeCell ref="A32:A33"/>
    <mergeCell ref="B32:B33"/>
    <mergeCell ref="C32:C33"/>
    <mergeCell ref="D32:D33"/>
    <mergeCell ref="E32:E33"/>
    <mergeCell ref="Q32:Q33"/>
    <mergeCell ref="F32:F33"/>
    <mergeCell ref="G32:G33"/>
    <mergeCell ref="H32:H33"/>
    <mergeCell ref="I32:I33"/>
    <mergeCell ref="J32:J33"/>
    <mergeCell ref="P32:P33"/>
    <mergeCell ref="G28:G29"/>
    <mergeCell ref="H28:H29"/>
    <mergeCell ref="A30:A31"/>
    <mergeCell ref="B30:B31"/>
    <mergeCell ref="C30:C31"/>
    <mergeCell ref="D30:D31"/>
    <mergeCell ref="E30:E31"/>
    <mergeCell ref="F30:F31"/>
    <mergeCell ref="G30:G31"/>
    <mergeCell ref="A28:A29"/>
    <mergeCell ref="B28:B29"/>
    <mergeCell ref="C28:C29"/>
    <mergeCell ref="D28:D29"/>
    <mergeCell ref="E28:E29"/>
    <mergeCell ref="F28:F29"/>
    <mergeCell ref="H30:H31"/>
    <mergeCell ref="G24:G25"/>
    <mergeCell ref="H24:H25"/>
    <mergeCell ref="A26:A27"/>
    <mergeCell ref="B26:B27"/>
    <mergeCell ref="C26:C27"/>
    <mergeCell ref="D26:D27"/>
    <mergeCell ref="E26:E27"/>
    <mergeCell ref="F26:F27"/>
    <mergeCell ref="G26:G27"/>
    <mergeCell ref="H26:H27"/>
    <mergeCell ref="A24:A25"/>
    <mergeCell ref="B24:B25"/>
    <mergeCell ref="C24:C25"/>
    <mergeCell ref="D24:D25"/>
    <mergeCell ref="E24:E25"/>
    <mergeCell ref="F24:F25"/>
    <mergeCell ref="G20:G21"/>
    <mergeCell ref="H20:H21"/>
    <mergeCell ref="A22:A23"/>
    <mergeCell ref="B22:B23"/>
    <mergeCell ref="C22:C23"/>
    <mergeCell ref="D22:D23"/>
    <mergeCell ref="E22:E23"/>
    <mergeCell ref="F22:F23"/>
    <mergeCell ref="G22:G23"/>
    <mergeCell ref="H22:H23"/>
    <mergeCell ref="A20:A21"/>
    <mergeCell ref="B20:B21"/>
    <mergeCell ref="C20:C21"/>
    <mergeCell ref="D20:D21"/>
    <mergeCell ref="E20:E21"/>
    <mergeCell ref="F20:F21"/>
    <mergeCell ref="G16:G17"/>
    <mergeCell ref="H16:H17"/>
    <mergeCell ref="A18:A19"/>
    <mergeCell ref="B18:B19"/>
    <mergeCell ref="C18:C19"/>
    <mergeCell ref="D18:D19"/>
    <mergeCell ref="E18:E19"/>
    <mergeCell ref="F18:F19"/>
    <mergeCell ref="G18:G19"/>
    <mergeCell ref="H18:H19"/>
    <mergeCell ref="A16:A17"/>
    <mergeCell ref="B16:B17"/>
    <mergeCell ref="C16:C17"/>
    <mergeCell ref="D16:D17"/>
    <mergeCell ref="E16:E17"/>
    <mergeCell ref="F16:F17"/>
    <mergeCell ref="A1:B1"/>
    <mergeCell ref="A2:B2"/>
    <mergeCell ref="I1:Q2"/>
    <mergeCell ref="A4:A5"/>
    <mergeCell ref="B4:B5"/>
    <mergeCell ref="A14:A15"/>
    <mergeCell ref="B14:B15"/>
    <mergeCell ref="A12:A13"/>
    <mergeCell ref="B12:B13"/>
    <mergeCell ref="A6:A7"/>
    <mergeCell ref="B6:B7"/>
    <mergeCell ref="A8:A9"/>
    <mergeCell ref="B8:B9"/>
    <mergeCell ref="A10:A11"/>
    <mergeCell ref="B10:B11"/>
  </mergeCells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957A7-342C-421C-A8FB-22DDBF85FF9C}">
  <dimension ref="A1:P47"/>
  <sheetViews>
    <sheetView topLeftCell="A23" workbookViewId="0">
      <selection activeCell="S15" sqref="S15"/>
    </sheetView>
  </sheetViews>
  <sheetFormatPr defaultRowHeight="15" x14ac:dyDescent="0.3"/>
  <cols>
    <col min="1" max="16384" width="9" style="30"/>
  </cols>
  <sheetData>
    <row r="1" spans="1:16" ht="16.2" thickTop="1" x14ac:dyDescent="0.3">
      <c r="A1" s="65" t="s">
        <v>0</v>
      </c>
      <c r="B1" s="66"/>
      <c r="C1" s="51" t="s">
        <v>11</v>
      </c>
      <c r="D1" s="52"/>
      <c r="E1" s="52"/>
      <c r="F1" s="52"/>
      <c r="G1" s="52"/>
      <c r="H1" s="63"/>
      <c r="I1" s="51" t="s">
        <v>12</v>
      </c>
      <c r="J1" s="52"/>
      <c r="K1" s="52"/>
      <c r="L1" s="52"/>
      <c r="M1" s="52"/>
      <c r="N1" s="52"/>
      <c r="O1" s="52"/>
      <c r="P1" s="53"/>
    </row>
    <row r="2" spans="1:16" ht="16.2" thickBot="1" x14ac:dyDescent="0.35">
      <c r="A2" s="61" t="s">
        <v>1</v>
      </c>
      <c r="B2" s="62"/>
      <c r="C2" s="54"/>
      <c r="D2" s="55"/>
      <c r="E2" s="55"/>
      <c r="F2" s="55"/>
      <c r="G2" s="55"/>
      <c r="H2" s="64"/>
      <c r="I2" s="54"/>
      <c r="J2" s="55"/>
      <c r="K2" s="55"/>
      <c r="L2" s="55"/>
      <c r="M2" s="55"/>
      <c r="N2" s="55"/>
      <c r="O2" s="55"/>
      <c r="P2" s="56"/>
    </row>
    <row r="3" spans="1:16" ht="16.2" thickBot="1" x14ac:dyDescent="0.35">
      <c r="A3" s="21" t="s">
        <v>3</v>
      </c>
      <c r="B3" s="20" t="s">
        <v>4</v>
      </c>
      <c r="C3" s="2">
        <v>5</v>
      </c>
      <c r="D3" s="2">
        <v>6</v>
      </c>
      <c r="E3" s="2">
        <v>7</v>
      </c>
      <c r="F3" s="2">
        <v>8</v>
      </c>
      <c r="G3" s="2">
        <v>9</v>
      </c>
      <c r="H3" s="2">
        <v>10</v>
      </c>
      <c r="I3" s="2">
        <v>3</v>
      </c>
      <c r="J3" s="2">
        <v>4</v>
      </c>
      <c r="K3" s="2">
        <v>5</v>
      </c>
      <c r="L3" s="2">
        <v>6</v>
      </c>
      <c r="M3" s="2">
        <v>7</v>
      </c>
      <c r="N3" s="2">
        <v>8</v>
      </c>
      <c r="O3" s="2">
        <v>9</v>
      </c>
      <c r="P3" s="3">
        <v>10</v>
      </c>
    </row>
    <row r="4" spans="1:16" ht="15.6" x14ac:dyDescent="0.3">
      <c r="A4" s="73" t="s">
        <v>5</v>
      </c>
      <c r="B4" s="49">
        <v>3</v>
      </c>
      <c r="C4" s="23">
        <v>-14</v>
      </c>
      <c r="D4" s="23">
        <v>-14</v>
      </c>
      <c r="E4" s="23">
        <v>-14</v>
      </c>
      <c r="F4" s="23">
        <v>-14</v>
      </c>
      <c r="G4" s="23">
        <v>-14</v>
      </c>
      <c r="H4" s="23">
        <v>-14</v>
      </c>
      <c r="I4" s="23">
        <v>-10</v>
      </c>
      <c r="J4" s="23">
        <v>-10</v>
      </c>
      <c r="K4" s="23">
        <v>-10</v>
      </c>
      <c r="L4" s="23">
        <v>-10</v>
      </c>
      <c r="M4" s="23">
        <v>-10</v>
      </c>
      <c r="N4" s="23">
        <v>-10</v>
      </c>
      <c r="O4" s="23">
        <v>-10</v>
      </c>
      <c r="P4" s="24">
        <v>-10</v>
      </c>
    </row>
    <row r="5" spans="1:16" ht="16.2" thickBot="1" x14ac:dyDescent="0.35">
      <c r="A5" s="74"/>
      <c r="B5" s="50"/>
      <c r="C5" s="1">
        <v>-18</v>
      </c>
      <c r="D5" s="1">
        <v>-20</v>
      </c>
      <c r="E5" s="1">
        <v>-24</v>
      </c>
      <c r="F5" s="1">
        <v>-28</v>
      </c>
      <c r="G5" s="1">
        <v>-39</v>
      </c>
      <c r="H5" s="1">
        <v>-54</v>
      </c>
      <c r="I5" s="1">
        <v>-12</v>
      </c>
      <c r="J5" s="1">
        <v>-13</v>
      </c>
      <c r="K5" s="1">
        <v>-14</v>
      </c>
      <c r="L5" s="1">
        <v>-16</v>
      </c>
      <c r="M5" s="1">
        <v>-20</v>
      </c>
      <c r="N5" s="1">
        <v>-24</v>
      </c>
      <c r="O5" s="1">
        <v>-35</v>
      </c>
      <c r="P5" s="19">
        <v>-50</v>
      </c>
    </row>
    <row r="6" spans="1:16" ht="15.6" x14ac:dyDescent="0.3">
      <c r="A6" s="47">
        <v>3</v>
      </c>
      <c r="B6" s="49">
        <v>6</v>
      </c>
      <c r="C6" s="23">
        <v>-20</v>
      </c>
      <c r="D6" s="23">
        <v>-20</v>
      </c>
      <c r="E6" s="23">
        <v>-20</v>
      </c>
      <c r="F6" s="23">
        <v>-20</v>
      </c>
      <c r="G6" s="23">
        <v>-20</v>
      </c>
      <c r="H6" s="23">
        <v>-20</v>
      </c>
      <c r="I6" s="23">
        <v>-14</v>
      </c>
      <c r="J6" s="23">
        <v>-14</v>
      </c>
      <c r="K6" s="23">
        <v>-14</v>
      </c>
      <c r="L6" s="23">
        <v>-14</v>
      </c>
      <c r="M6" s="23">
        <v>-14</v>
      </c>
      <c r="N6" s="23">
        <v>-14</v>
      </c>
      <c r="O6" s="23">
        <v>-14</v>
      </c>
      <c r="P6" s="24">
        <v>-14</v>
      </c>
    </row>
    <row r="7" spans="1:16" ht="16.2" thickBot="1" x14ac:dyDescent="0.35">
      <c r="A7" s="48"/>
      <c r="B7" s="50"/>
      <c r="C7" s="1">
        <v>-25</v>
      </c>
      <c r="D7" s="1">
        <v>-28</v>
      </c>
      <c r="E7" s="1">
        <v>-32</v>
      </c>
      <c r="F7" s="1">
        <v>-38</v>
      </c>
      <c r="G7" s="1">
        <v>-50</v>
      </c>
      <c r="H7" s="1">
        <v>-68</v>
      </c>
      <c r="I7" s="1">
        <v>-16.5</v>
      </c>
      <c r="J7" s="1">
        <v>-18</v>
      </c>
      <c r="K7" s="1">
        <v>-19</v>
      </c>
      <c r="L7" s="1">
        <v>-22</v>
      </c>
      <c r="M7" s="1">
        <v>-26</v>
      </c>
      <c r="N7" s="1">
        <v>-32</v>
      </c>
      <c r="O7" s="1">
        <v>-44</v>
      </c>
      <c r="P7" s="19">
        <v>-62</v>
      </c>
    </row>
    <row r="8" spans="1:16" ht="15.6" x14ac:dyDescent="0.3">
      <c r="A8" s="47">
        <v>6</v>
      </c>
      <c r="B8" s="49">
        <v>10</v>
      </c>
      <c r="C8" s="23">
        <v>-25</v>
      </c>
      <c r="D8" s="23">
        <v>-25</v>
      </c>
      <c r="E8" s="23">
        <v>-25</v>
      </c>
      <c r="F8" s="23">
        <v>-25</v>
      </c>
      <c r="G8" s="23">
        <v>-25</v>
      </c>
      <c r="H8" s="23">
        <v>-25</v>
      </c>
      <c r="I8" s="23">
        <v>-18</v>
      </c>
      <c r="J8" s="23">
        <v>-18</v>
      </c>
      <c r="K8" s="23">
        <v>-18</v>
      </c>
      <c r="L8" s="23">
        <v>-18</v>
      </c>
      <c r="M8" s="23">
        <v>-18</v>
      </c>
      <c r="N8" s="23">
        <v>-18</v>
      </c>
      <c r="O8" s="23">
        <v>-18</v>
      </c>
      <c r="P8" s="24">
        <v>-18</v>
      </c>
    </row>
    <row r="9" spans="1:16" ht="16.2" thickBot="1" x14ac:dyDescent="0.35">
      <c r="A9" s="48"/>
      <c r="B9" s="50"/>
      <c r="C9" s="1">
        <v>-31</v>
      </c>
      <c r="D9" s="1">
        <v>-34</v>
      </c>
      <c r="E9" s="1">
        <v>-40</v>
      </c>
      <c r="F9" s="1">
        <v>-47</v>
      </c>
      <c r="G9" s="1">
        <v>-61</v>
      </c>
      <c r="H9" s="1">
        <v>-83</v>
      </c>
      <c r="I9" s="1">
        <v>-20.5</v>
      </c>
      <c r="J9" s="1">
        <v>-22</v>
      </c>
      <c r="K9" s="1">
        <v>-24</v>
      </c>
      <c r="L9" s="1">
        <v>-27</v>
      </c>
      <c r="M9" s="1">
        <v>-33</v>
      </c>
      <c r="N9" s="1">
        <v>-40</v>
      </c>
      <c r="O9" s="1">
        <v>-54</v>
      </c>
      <c r="P9" s="19">
        <v>-76</v>
      </c>
    </row>
    <row r="10" spans="1:16" ht="15.6" x14ac:dyDescent="0.3">
      <c r="A10" s="47">
        <v>10</v>
      </c>
      <c r="B10" s="49">
        <v>18</v>
      </c>
      <c r="C10" s="23">
        <v>-32</v>
      </c>
      <c r="D10" s="23">
        <v>-32</v>
      </c>
      <c r="E10" s="23">
        <v>-32</v>
      </c>
      <c r="F10" s="23">
        <v>-32</v>
      </c>
      <c r="G10" s="23">
        <v>-32</v>
      </c>
      <c r="H10" s="23">
        <v>-32</v>
      </c>
      <c r="I10" s="23">
        <v>-23</v>
      </c>
      <c r="J10" s="23">
        <v>-23</v>
      </c>
      <c r="K10" s="23">
        <v>-23</v>
      </c>
      <c r="L10" s="23">
        <v>-23</v>
      </c>
      <c r="M10" s="23">
        <v>-23</v>
      </c>
      <c r="N10" s="23">
        <v>-23</v>
      </c>
      <c r="O10" s="23">
        <v>-23</v>
      </c>
      <c r="P10" s="23">
        <v>-23</v>
      </c>
    </row>
    <row r="11" spans="1:16" ht="16.2" thickBot="1" x14ac:dyDescent="0.35">
      <c r="A11" s="48"/>
      <c r="B11" s="50"/>
      <c r="C11" s="1">
        <v>-40</v>
      </c>
      <c r="D11" s="1">
        <v>-43</v>
      </c>
      <c r="E11" s="1">
        <v>-50</v>
      </c>
      <c r="F11" s="1">
        <v>-59</v>
      </c>
      <c r="G11" s="1">
        <v>-75</v>
      </c>
      <c r="H11" s="1">
        <v>-102</v>
      </c>
      <c r="I11" s="1">
        <f>-23-(3)</f>
        <v>-26</v>
      </c>
      <c r="J11" s="1">
        <f>-23-(5)</f>
        <v>-28</v>
      </c>
      <c r="K11" s="1">
        <f>-23-(8)</f>
        <v>-31</v>
      </c>
      <c r="L11" s="1">
        <f>-23-(11)</f>
        <v>-34</v>
      </c>
      <c r="M11" s="1">
        <f>-23-(18)</f>
        <v>-41</v>
      </c>
      <c r="N11" s="1">
        <f>-23-(27)</f>
        <v>-50</v>
      </c>
      <c r="O11" s="1">
        <f>-23-(43)</f>
        <v>-66</v>
      </c>
      <c r="P11" s="1">
        <f>-23-(70)</f>
        <v>-93</v>
      </c>
    </row>
    <row r="12" spans="1:16" ht="15.6" x14ac:dyDescent="0.3">
      <c r="A12" s="47">
        <v>18</v>
      </c>
      <c r="B12" s="49">
        <v>30</v>
      </c>
      <c r="C12" s="23">
        <v>-40</v>
      </c>
      <c r="D12" s="23">
        <v>-40</v>
      </c>
      <c r="E12" s="23">
        <v>-40</v>
      </c>
      <c r="F12" s="23">
        <v>-40</v>
      </c>
      <c r="G12" s="23">
        <v>-40</v>
      </c>
      <c r="H12" s="23">
        <v>-40</v>
      </c>
      <c r="I12" s="23">
        <v>-25</v>
      </c>
      <c r="J12" s="23">
        <v>-25</v>
      </c>
      <c r="K12" s="23">
        <v>-25</v>
      </c>
      <c r="L12" s="23">
        <v>-25</v>
      </c>
      <c r="M12" s="23">
        <v>-25</v>
      </c>
      <c r="N12" s="23">
        <v>-25</v>
      </c>
      <c r="O12" s="23">
        <v>-25</v>
      </c>
      <c r="P12" s="23">
        <v>-25</v>
      </c>
    </row>
    <row r="13" spans="1:16" ht="16.2" thickBot="1" x14ac:dyDescent="0.35">
      <c r="A13" s="48"/>
      <c r="B13" s="50"/>
      <c r="C13" s="1">
        <v>-49</v>
      </c>
      <c r="D13" s="1">
        <v>-53</v>
      </c>
      <c r="E13" s="1">
        <v>-61</v>
      </c>
      <c r="F13" s="1">
        <v>-73</v>
      </c>
      <c r="G13" s="1">
        <v>-92</v>
      </c>
      <c r="H13" s="1">
        <v>-124</v>
      </c>
      <c r="I13" s="1">
        <f>-25-(4)</f>
        <v>-29</v>
      </c>
      <c r="J13" s="1">
        <f>-25-(6)</f>
        <v>-31</v>
      </c>
      <c r="K13" s="1">
        <f>-25-(9)</f>
        <v>-34</v>
      </c>
      <c r="L13" s="1">
        <f>-25-(13)</f>
        <v>-38</v>
      </c>
      <c r="M13" s="1">
        <f>-25-(21)</f>
        <v>-46</v>
      </c>
      <c r="N13" s="1">
        <f>-25-(33)</f>
        <v>-58</v>
      </c>
      <c r="O13" s="1">
        <f>-25-(52)</f>
        <v>-77</v>
      </c>
      <c r="P13" s="1">
        <f>-25-(84)</f>
        <v>-109</v>
      </c>
    </row>
    <row r="14" spans="1:16" ht="15.6" x14ac:dyDescent="0.3">
      <c r="A14" s="47">
        <v>30</v>
      </c>
      <c r="B14" s="49">
        <v>50</v>
      </c>
      <c r="C14" s="23">
        <v>-50</v>
      </c>
      <c r="D14" s="23">
        <v>-50</v>
      </c>
      <c r="E14" s="23">
        <v>-50</v>
      </c>
      <c r="F14" s="23">
        <v>-50</v>
      </c>
      <c r="G14" s="23">
        <v>-50</v>
      </c>
      <c r="H14" s="23">
        <v>-50</v>
      </c>
      <c r="I14" s="23">
        <v>-35</v>
      </c>
      <c r="J14" s="23">
        <v>-35</v>
      </c>
      <c r="K14" s="23">
        <v>-35</v>
      </c>
      <c r="L14" s="23">
        <v>-35</v>
      </c>
      <c r="M14" s="23">
        <v>-35</v>
      </c>
      <c r="N14" s="23">
        <v>-35</v>
      </c>
      <c r="O14" s="23">
        <v>-35</v>
      </c>
      <c r="P14" s="23">
        <v>-35</v>
      </c>
    </row>
    <row r="15" spans="1:16" ht="16.2" thickBot="1" x14ac:dyDescent="0.35">
      <c r="A15" s="48"/>
      <c r="B15" s="50"/>
      <c r="C15" s="1">
        <v>-61</v>
      </c>
      <c r="D15" s="1">
        <v>-66</v>
      </c>
      <c r="E15" s="1">
        <v>-75</v>
      </c>
      <c r="F15" s="1">
        <v>-89</v>
      </c>
      <c r="G15" s="1">
        <v>-112</v>
      </c>
      <c r="H15" s="1">
        <v>-150</v>
      </c>
      <c r="I15" s="1">
        <f>-35-(4)</f>
        <v>-39</v>
      </c>
      <c r="J15" s="1">
        <f>-35-(7)</f>
        <v>-42</v>
      </c>
      <c r="K15" s="1">
        <f>-35-(11)</f>
        <v>-46</v>
      </c>
      <c r="L15" s="1">
        <f>-35-(16)</f>
        <v>-51</v>
      </c>
      <c r="M15" s="1">
        <f>-35-(25)</f>
        <v>-60</v>
      </c>
      <c r="N15" s="1">
        <f>-35-(39)</f>
        <v>-74</v>
      </c>
      <c r="O15" s="1">
        <f>-35-(62)</f>
        <v>-97</v>
      </c>
      <c r="P15" s="1">
        <f>-35-(100)</f>
        <v>-135</v>
      </c>
    </row>
    <row r="16" spans="1:16" ht="15.6" x14ac:dyDescent="0.3">
      <c r="A16" s="47">
        <v>50</v>
      </c>
      <c r="B16" s="49">
        <v>80</v>
      </c>
      <c r="C16" s="23">
        <v>-60</v>
      </c>
      <c r="D16" s="23">
        <v>-60</v>
      </c>
      <c r="E16" s="23">
        <v>-60</v>
      </c>
      <c r="F16" s="23">
        <v>-60</v>
      </c>
      <c r="G16" s="23">
        <v>-60</v>
      </c>
      <c r="H16" s="23">
        <v>-60</v>
      </c>
      <c r="I16" s="75"/>
      <c r="J16" s="75"/>
      <c r="K16" s="75"/>
      <c r="L16" s="75"/>
      <c r="M16" s="75"/>
      <c r="N16" s="75"/>
      <c r="O16" s="75"/>
      <c r="P16" s="77"/>
    </row>
    <row r="17" spans="1:16" ht="16.2" thickBot="1" x14ac:dyDescent="0.35">
      <c r="A17" s="48"/>
      <c r="B17" s="50"/>
      <c r="C17" s="1">
        <v>-73</v>
      </c>
      <c r="D17" s="1">
        <v>-79</v>
      </c>
      <c r="E17" s="1">
        <v>-90</v>
      </c>
      <c r="F17" s="1">
        <v>-106</v>
      </c>
      <c r="G17" s="1">
        <v>-134</v>
      </c>
      <c r="H17" s="1">
        <v>-180</v>
      </c>
      <c r="I17" s="76"/>
      <c r="J17" s="76"/>
      <c r="K17" s="76"/>
      <c r="L17" s="76"/>
      <c r="M17" s="76"/>
      <c r="N17" s="76"/>
      <c r="O17" s="76"/>
      <c r="P17" s="78"/>
    </row>
    <row r="18" spans="1:16" ht="15.6" x14ac:dyDescent="0.3">
      <c r="A18" s="47">
        <v>80</v>
      </c>
      <c r="B18" s="49">
        <v>120</v>
      </c>
      <c r="C18" s="23">
        <v>-72</v>
      </c>
      <c r="D18" s="23">
        <v>-72</v>
      </c>
      <c r="E18" s="23">
        <v>-72</v>
      </c>
      <c r="F18" s="23">
        <v>-72</v>
      </c>
      <c r="G18" s="23">
        <v>-72</v>
      </c>
      <c r="H18" s="23">
        <v>-72</v>
      </c>
      <c r="I18" s="75"/>
      <c r="J18" s="75"/>
      <c r="K18" s="75"/>
      <c r="L18" s="75"/>
      <c r="M18" s="75"/>
      <c r="N18" s="75"/>
      <c r="O18" s="75"/>
      <c r="P18" s="77"/>
    </row>
    <row r="19" spans="1:16" ht="16.2" thickBot="1" x14ac:dyDescent="0.35">
      <c r="A19" s="48"/>
      <c r="B19" s="50"/>
      <c r="C19" s="1">
        <v>-87</v>
      </c>
      <c r="D19" s="1">
        <v>-94</v>
      </c>
      <c r="E19" s="1">
        <v>-107</v>
      </c>
      <c r="F19" s="1">
        <v>-126</v>
      </c>
      <c r="G19" s="1">
        <v>-159</v>
      </c>
      <c r="H19" s="1">
        <v>-212</v>
      </c>
      <c r="I19" s="76"/>
      <c r="J19" s="76"/>
      <c r="K19" s="76"/>
      <c r="L19" s="76"/>
      <c r="M19" s="76"/>
      <c r="N19" s="76"/>
      <c r="O19" s="76"/>
      <c r="P19" s="78"/>
    </row>
    <row r="20" spans="1:16" ht="15.6" x14ac:dyDescent="0.3">
      <c r="A20" s="47">
        <v>120</v>
      </c>
      <c r="B20" s="49">
        <v>180</v>
      </c>
      <c r="C20" s="23">
        <v>-85</v>
      </c>
      <c r="D20" s="23">
        <v>-85</v>
      </c>
      <c r="E20" s="23">
        <v>-85</v>
      </c>
      <c r="F20" s="23">
        <v>-85</v>
      </c>
      <c r="G20" s="23">
        <v>-85</v>
      </c>
      <c r="H20" s="23">
        <v>-85</v>
      </c>
      <c r="I20" s="75"/>
      <c r="J20" s="75"/>
      <c r="K20" s="75"/>
      <c r="L20" s="75"/>
      <c r="M20" s="75"/>
      <c r="N20" s="75"/>
      <c r="O20" s="75"/>
      <c r="P20" s="77"/>
    </row>
    <row r="21" spans="1:16" ht="16.2" thickBot="1" x14ac:dyDescent="0.35">
      <c r="A21" s="48"/>
      <c r="B21" s="50"/>
      <c r="C21" s="1">
        <v>-103</v>
      </c>
      <c r="D21" s="1">
        <v>-110</v>
      </c>
      <c r="E21" s="1">
        <v>-125</v>
      </c>
      <c r="F21" s="1">
        <v>-148</v>
      </c>
      <c r="G21" s="1">
        <v>-185</v>
      </c>
      <c r="H21" s="1">
        <v>-245</v>
      </c>
      <c r="I21" s="76"/>
      <c r="J21" s="76"/>
      <c r="K21" s="76"/>
      <c r="L21" s="76"/>
      <c r="M21" s="76"/>
      <c r="N21" s="76"/>
      <c r="O21" s="76"/>
      <c r="P21" s="78"/>
    </row>
    <row r="22" spans="1:16" ht="15.6" x14ac:dyDescent="0.3">
      <c r="A22" s="47">
        <v>180</v>
      </c>
      <c r="B22" s="49">
        <v>250</v>
      </c>
      <c r="C22" s="23">
        <v>-100</v>
      </c>
      <c r="D22" s="23">
        <v>-100</v>
      </c>
      <c r="E22" s="23">
        <v>-100</v>
      </c>
      <c r="F22" s="23">
        <v>-100</v>
      </c>
      <c r="G22" s="23">
        <v>-100</v>
      </c>
      <c r="H22" s="23">
        <v>-100</v>
      </c>
      <c r="I22" s="75"/>
      <c r="J22" s="75"/>
      <c r="K22" s="75"/>
      <c r="L22" s="75"/>
      <c r="M22" s="75"/>
      <c r="N22" s="75"/>
      <c r="O22" s="75"/>
      <c r="P22" s="77"/>
    </row>
    <row r="23" spans="1:16" ht="16.2" thickBot="1" x14ac:dyDescent="0.35">
      <c r="A23" s="48"/>
      <c r="B23" s="50"/>
      <c r="C23" s="1">
        <v>-120</v>
      </c>
      <c r="D23" s="1">
        <v>-129</v>
      </c>
      <c r="E23" s="1">
        <v>-146</v>
      </c>
      <c r="F23" s="1">
        <v>-172</v>
      </c>
      <c r="G23" s="1">
        <v>-215</v>
      </c>
      <c r="H23" s="1">
        <v>-285</v>
      </c>
      <c r="I23" s="76"/>
      <c r="J23" s="76"/>
      <c r="K23" s="76"/>
      <c r="L23" s="76"/>
      <c r="M23" s="76"/>
      <c r="N23" s="76"/>
      <c r="O23" s="76"/>
      <c r="P23" s="78"/>
    </row>
    <row r="24" spans="1:16" ht="15.6" x14ac:dyDescent="0.3">
      <c r="A24" s="47">
        <v>250</v>
      </c>
      <c r="B24" s="49">
        <v>315</v>
      </c>
      <c r="C24" s="23">
        <v>-110</v>
      </c>
      <c r="D24" s="23">
        <v>-110</v>
      </c>
      <c r="E24" s="23">
        <v>-110</v>
      </c>
      <c r="F24" s="23">
        <v>-110</v>
      </c>
      <c r="G24" s="23">
        <v>-110</v>
      </c>
      <c r="H24" s="23">
        <v>-110</v>
      </c>
      <c r="I24" s="75"/>
      <c r="J24" s="75"/>
      <c r="K24" s="75"/>
      <c r="L24" s="75"/>
      <c r="M24" s="75"/>
      <c r="N24" s="75"/>
      <c r="O24" s="75"/>
      <c r="P24" s="77"/>
    </row>
    <row r="25" spans="1:16" ht="16.2" thickBot="1" x14ac:dyDescent="0.35">
      <c r="A25" s="48"/>
      <c r="B25" s="50"/>
      <c r="C25" s="1">
        <v>-133</v>
      </c>
      <c r="D25" s="1">
        <v>-142</v>
      </c>
      <c r="E25" s="1">
        <v>-162</v>
      </c>
      <c r="F25" s="1">
        <v>-191</v>
      </c>
      <c r="G25" s="1">
        <v>-240</v>
      </c>
      <c r="H25" s="1">
        <v>-320</v>
      </c>
      <c r="I25" s="76"/>
      <c r="J25" s="76"/>
      <c r="K25" s="76"/>
      <c r="L25" s="76"/>
      <c r="M25" s="76"/>
      <c r="N25" s="76"/>
      <c r="O25" s="76"/>
      <c r="P25" s="78"/>
    </row>
    <row r="26" spans="1:16" ht="15.6" x14ac:dyDescent="0.3">
      <c r="A26" s="47">
        <v>315</v>
      </c>
      <c r="B26" s="49">
        <v>400</v>
      </c>
      <c r="C26" s="23">
        <v>-125</v>
      </c>
      <c r="D26" s="23">
        <v>-125</v>
      </c>
      <c r="E26" s="23">
        <v>-125</v>
      </c>
      <c r="F26" s="23">
        <v>-125</v>
      </c>
      <c r="G26" s="23">
        <v>-125</v>
      </c>
      <c r="H26" s="23">
        <v>-125</v>
      </c>
      <c r="I26" s="75"/>
      <c r="J26" s="75"/>
      <c r="K26" s="75"/>
      <c r="L26" s="75"/>
      <c r="M26" s="75"/>
      <c r="N26" s="75"/>
      <c r="O26" s="75"/>
      <c r="P26" s="77"/>
    </row>
    <row r="27" spans="1:16" ht="16.2" thickBot="1" x14ac:dyDescent="0.35">
      <c r="A27" s="48"/>
      <c r="B27" s="50"/>
      <c r="C27" s="1">
        <v>-150</v>
      </c>
      <c r="D27" s="1">
        <v>-161</v>
      </c>
      <c r="E27" s="1">
        <v>-182</v>
      </c>
      <c r="F27" s="1">
        <v>-214</v>
      </c>
      <c r="G27" s="1">
        <v>-265</v>
      </c>
      <c r="H27" s="1">
        <v>-355</v>
      </c>
      <c r="I27" s="76"/>
      <c r="J27" s="76"/>
      <c r="K27" s="76"/>
      <c r="L27" s="76"/>
      <c r="M27" s="76"/>
      <c r="N27" s="76"/>
      <c r="O27" s="76"/>
      <c r="P27" s="78"/>
    </row>
    <row r="28" spans="1:16" ht="15.6" x14ac:dyDescent="0.3">
      <c r="A28" s="47">
        <v>400</v>
      </c>
      <c r="B28" s="49">
        <v>500</v>
      </c>
      <c r="C28" s="23">
        <v>-135</v>
      </c>
      <c r="D28" s="23">
        <v>-135</v>
      </c>
      <c r="E28" s="23">
        <v>-135</v>
      </c>
      <c r="F28" s="23">
        <v>-135</v>
      </c>
      <c r="G28" s="23">
        <v>-135</v>
      </c>
      <c r="H28" s="23">
        <v>-135</v>
      </c>
      <c r="I28" s="75"/>
      <c r="J28" s="75"/>
      <c r="K28" s="75"/>
      <c r="L28" s="75"/>
      <c r="M28" s="75"/>
      <c r="N28" s="75"/>
      <c r="O28" s="75"/>
      <c r="P28" s="77"/>
    </row>
    <row r="29" spans="1:16" ht="16.2" thickBot="1" x14ac:dyDescent="0.35">
      <c r="A29" s="48"/>
      <c r="B29" s="50"/>
      <c r="C29" s="1">
        <v>-162</v>
      </c>
      <c r="D29" s="1">
        <v>-175</v>
      </c>
      <c r="E29" s="1">
        <v>-198</v>
      </c>
      <c r="F29" s="1">
        <v>-232</v>
      </c>
      <c r="G29" s="1">
        <v>-290</v>
      </c>
      <c r="H29" s="1">
        <v>-385</v>
      </c>
      <c r="I29" s="76"/>
      <c r="J29" s="76"/>
      <c r="K29" s="76"/>
      <c r="L29" s="76"/>
      <c r="M29" s="76"/>
      <c r="N29" s="76"/>
      <c r="O29" s="76"/>
      <c r="P29" s="78"/>
    </row>
    <row r="30" spans="1:16" ht="15.6" x14ac:dyDescent="0.3">
      <c r="A30" s="47">
        <v>500</v>
      </c>
      <c r="B30" s="49">
        <v>630</v>
      </c>
      <c r="C30" s="23">
        <v>-145</v>
      </c>
      <c r="D30" s="23">
        <v>-145</v>
      </c>
      <c r="E30" s="23">
        <v>-145</v>
      </c>
      <c r="F30" s="23">
        <v>-145</v>
      </c>
      <c r="G30" s="23">
        <v>-145</v>
      </c>
      <c r="H30" s="23">
        <v>-145</v>
      </c>
      <c r="I30" s="75"/>
      <c r="J30" s="75"/>
      <c r="K30" s="75"/>
      <c r="L30" s="75"/>
      <c r="M30" s="75"/>
      <c r="N30" s="75"/>
      <c r="O30" s="75"/>
      <c r="P30" s="77"/>
    </row>
    <row r="31" spans="1:16" ht="16.2" thickBot="1" x14ac:dyDescent="0.35">
      <c r="A31" s="48"/>
      <c r="B31" s="50"/>
      <c r="C31" s="26">
        <v>-177</v>
      </c>
      <c r="D31" s="1">
        <v>-189</v>
      </c>
      <c r="E31" s="1">
        <v>-215</v>
      </c>
      <c r="F31" s="1">
        <v>-255</v>
      </c>
      <c r="G31" s="1">
        <v>-320</v>
      </c>
      <c r="H31" s="1">
        <v>-425</v>
      </c>
      <c r="I31" s="76"/>
      <c r="J31" s="76"/>
      <c r="K31" s="76"/>
      <c r="L31" s="76"/>
      <c r="M31" s="76"/>
      <c r="N31" s="76"/>
      <c r="O31" s="76"/>
      <c r="P31" s="78"/>
    </row>
    <row r="32" spans="1:16" ht="15.6" x14ac:dyDescent="0.3">
      <c r="A32" s="47">
        <v>630</v>
      </c>
      <c r="B32" s="49">
        <v>800</v>
      </c>
      <c r="C32" s="23">
        <v>-160</v>
      </c>
      <c r="D32" s="23">
        <v>-160</v>
      </c>
      <c r="E32" s="23">
        <v>-160</v>
      </c>
      <c r="F32" s="23">
        <v>-160</v>
      </c>
      <c r="G32" s="23">
        <v>-160</v>
      </c>
      <c r="H32" s="23">
        <v>-160</v>
      </c>
      <c r="I32" s="75"/>
      <c r="J32" s="75"/>
      <c r="K32" s="75"/>
      <c r="L32" s="75"/>
      <c r="M32" s="75"/>
      <c r="N32" s="75"/>
      <c r="O32" s="75"/>
      <c r="P32" s="77"/>
    </row>
    <row r="33" spans="1:16" ht="16.2" thickBot="1" x14ac:dyDescent="0.35">
      <c r="A33" s="48"/>
      <c r="B33" s="50"/>
      <c r="C33" s="26">
        <v>-196</v>
      </c>
      <c r="D33" s="1">
        <v>-210</v>
      </c>
      <c r="E33" s="1">
        <v>-240</v>
      </c>
      <c r="F33" s="1">
        <v>-285</v>
      </c>
      <c r="G33" s="1">
        <v>-360</v>
      </c>
      <c r="H33" s="1">
        <v>-480</v>
      </c>
      <c r="I33" s="76"/>
      <c r="J33" s="76"/>
      <c r="K33" s="76"/>
      <c r="L33" s="76"/>
      <c r="M33" s="76"/>
      <c r="N33" s="76"/>
      <c r="O33" s="76"/>
      <c r="P33" s="78"/>
    </row>
    <row r="34" spans="1:16" ht="15.6" x14ac:dyDescent="0.3">
      <c r="A34" s="47">
        <v>800</v>
      </c>
      <c r="B34" s="79">
        <v>1000</v>
      </c>
      <c r="C34" s="23">
        <v>-170</v>
      </c>
      <c r="D34" s="23">
        <v>-170</v>
      </c>
      <c r="E34" s="23">
        <v>-170</v>
      </c>
      <c r="F34" s="23">
        <v>-170</v>
      </c>
      <c r="G34" s="23">
        <v>-170</v>
      </c>
      <c r="H34" s="23">
        <v>-170</v>
      </c>
      <c r="I34" s="75"/>
      <c r="J34" s="75"/>
      <c r="K34" s="75"/>
      <c r="L34" s="75"/>
      <c r="M34" s="75"/>
      <c r="N34" s="75"/>
      <c r="O34" s="75"/>
      <c r="P34" s="77"/>
    </row>
    <row r="35" spans="1:16" ht="16.2" thickBot="1" x14ac:dyDescent="0.35">
      <c r="A35" s="48"/>
      <c r="B35" s="80"/>
      <c r="C35" s="26">
        <v>-210</v>
      </c>
      <c r="D35" s="1">
        <v>-226</v>
      </c>
      <c r="E35" s="1">
        <v>-260</v>
      </c>
      <c r="F35" s="1">
        <v>-310</v>
      </c>
      <c r="G35" s="1">
        <v>-400</v>
      </c>
      <c r="H35" s="1">
        <v>-530</v>
      </c>
      <c r="I35" s="76"/>
      <c r="J35" s="76"/>
      <c r="K35" s="76"/>
      <c r="L35" s="76"/>
      <c r="M35" s="76"/>
      <c r="N35" s="76"/>
      <c r="O35" s="76"/>
      <c r="P35" s="78"/>
    </row>
    <row r="36" spans="1:16" ht="15.6" x14ac:dyDescent="0.3">
      <c r="A36" s="81">
        <v>1000</v>
      </c>
      <c r="B36" s="79">
        <v>1250</v>
      </c>
      <c r="C36" s="23">
        <v>-195</v>
      </c>
      <c r="D36" s="23">
        <v>-195</v>
      </c>
      <c r="E36" s="23">
        <v>-195</v>
      </c>
      <c r="F36" s="23">
        <v>-195</v>
      </c>
      <c r="G36" s="23">
        <v>-195</v>
      </c>
      <c r="H36" s="23">
        <v>-195</v>
      </c>
      <c r="I36" s="75"/>
      <c r="J36" s="75"/>
      <c r="K36" s="75"/>
      <c r="L36" s="75"/>
      <c r="M36" s="75"/>
      <c r="N36" s="75"/>
      <c r="O36" s="75"/>
      <c r="P36" s="77"/>
    </row>
    <row r="37" spans="1:16" ht="16.2" thickBot="1" x14ac:dyDescent="0.35">
      <c r="A37" s="82"/>
      <c r="B37" s="80"/>
      <c r="C37" s="26">
        <v>-242</v>
      </c>
      <c r="D37" s="1">
        <v>-261</v>
      </c>
      <c r="E37" s="1">
        <v>-300</v>
      </c>
      <c r="F37" s="1">
        <v>-360</v>
      </c>
      <c r="G37" s="1">
        <v>-455</v>
      </c>
      <c r="H37" s="1">
        <v>-615</v>
      </c>
      <c r="I37" s="76"/>
      <c r="J37" s="76"/>
      <c r="K37" s="76"/>
      <c r="L37" s="76"/>
      <c r="M37" s="76"/>
      <c r="N37" s="76"/>
      <c r="O37" s="76"/>
      <c r="P37" s="78"/>
    </row>
    <row r="38" spans="1:16" ht="15.6" x14ac:dyDescent="0.3">
      <c r="A38" s="81">
        <v>1250</v>
      </c>
      <c r="B38" s="79">
        <v>1600</v>
      </c>
      <c r="C38" s="23">
        <v>-220</v>
      </c>
      <c r="D38" s="23">
        <v>-220</v>
      </c>
      <c r="E38" s="23">
        <v>-220</v>
      </c>
      <c r="F38" s="23">
        <v>-220</v>
      </c>
      <c r="G38" s="23">
        <v>-220</v>
      </c>
      <c r="H38" s="23">
        <v>-220</v>
      </c>
      <c r="I38" s="75"/>
      <c r="J38" s="75"/>
      <c r="K38" s="75"/>
      <c r="L38" s="75"/>
      <c r="M38" s="75"/>
      <c r="N38" s="75"/>
      <c r="O38" s="75"/>
      <c r="P38" s="77"/>
    </row>
    <row r="39" spans="1:16" ht="16.2" thickBot="1" x14ac:dyDescent="0.35">
      <c r="A39" s="82"/>
      <c r="B39" s="80"/>
      <c r="C39" s="26">
        <v>-275</v>
      </c>
      <c r="D39" s="1">
        <v>-298</v>
      </c>
      <c r="E39" s="1">
        <v>-345</v>
      </c>
      <c r="F39" s="1">
        <v>-415</v>
      </c>
      <c r="G39" s="1">
        <v>-530</v>
      </c>
      <c r="H39" s="1">
        <v>-720</v>
      </c>
      <c r="I39" s="76"/>
      <c r="J39" s="76"/>
      <c r="K39" s="76"/>
      <c r="L39" s="76"/>
      <c r="M39" s="76"/>
      <c r="N39" s="76"/>
      <c r="O39" s="76"/>
      <c r="P39" s="78"/>
    </row>
    <row r="40" spans="1:16" ht="15.6" x14ac:dyDescent="0.3">
      <c r="A40" s="81">
        <v>1600</v>
      </c>
      <c r="B40" s="79">
        <v>2000</v>
      </c>
      <c r="C40" s="23">
        <v>-240</v>
      </c>
      <c r="D40" s="23">
        <v>-240</v>
      </c>
      <c r="E40" s="23">
        <v>-240</v>
      </c>
      <c r="F40" s="23">
        <v>-240</v>
      </c>
      <c r="G40" s="23">
        <v>-240</v>
      </c>
      <c r="H40" s="23">
        <v>-240</v>
      </c>
      <c r="I40" s="75"/>
      <c r="J40" s="75"/>
      <c r="K40" s="75"/>
      <c r="L40" s="75"/>
      <c r="M40" s="75"/>
      <c r="N40" s="75"/>
      <c r="O40" s="75"/>
      <c r="P40" s="77"/>
    </row>
    <row r="41" spans="1:16" ht="16.2" thickBot="1" x14ac:dyDescent="0.35">
      <c r="A41" s="82"/>
      <c r="B41" s="80"/>
      <c r="C41" s="26">
        <v>-305</v>
      </c>
      <c r="D41" s="1">
        <v>-332</v>
      </c>
      <c r="E41" s="1">
        <v>-390</v>
      </c>
      <c r="F41" s="1">
        <v>-470</v>
      </c>
      <c r="G41" s="1">
        <v>-610</v>
      </c>
      <c r="H41" s="1">
        <v>-840</v>
      </c>
      <c r="I41" s="76"/>
      <c r="J41" s="76"/>
      <c r="K41" s="76"/>
      <c r="L41" s="76"/>
      <c r="M41" s="76"/>
      <c r="N41" s="76"/>
      <c r="O41" s="76"/>
      <c r="P41" s="78"/>
    </row>
    <row r="42" spans="1:16" ht="15.6" x14ac:dyDescent="0.3">
      <c r="A42" s="81">
        <v>2000</v>
      </c>
      <c r="B42" s="79">
        <v>2500</v>
      </c>
      <c r="C42" s="23">
        <v>-260</v>
      </c>
      <c r="D42" s="23">
        <v>-260</v>
      </c>
      <c r="E42" s="23">
        <v>-260</v>
      </c>
      <c r="F42" s="23">
        <v>-260</v>
      </c>
      <c r="G42" s="23">
        <v>-260</v>
      </c>
      <c r="H42" s="23">
        <v>-260</v>
      </c>
      <c r="I42" s="75"/>
      <c r="J42" s="75"/>
      <c r="K42" s="75"/>
      <c r="L42" s="75"/>
      <c r="M42" s="75"/>
      <c r="N42" s="75"/>
      <c r="O42" s="75"/>
      <c r="P42" s="77"/>
    </row>
    <row r="43" spans="1:16" ht="16.2" thickBot="1" x14ac:dyDescent="0.35">
      <c r="A43" s="82"/>
      <c r="B43" s="80"/>
      <c r="C43" s="26">
        <v>-338</v>
      </c>
      <c r="D43" s="1">
        <v>-370</v>
      </c>
      <c r="E43" s="1">
        <v>-435</v>
      </c>
      <c r="F43" s="1">
        <v>-540</v>
      </c>
      <c r="G43" s="1">
        <v>-700</v>
      </c>
      <c r="H43" s="1">
        <v>-960</v>
      </c>
      <c r="I43" s="76"/>
      <c r="J43" s="76"/>
      <c r="K43" s="76"/>
      <c r="L43" s="76"/>
      <c r="M43" s="76"/>
      <c r="N43" s="76"/>
      <c r="O43" s="76"/>
      <c r="P43" s="78"/>
    </row>
    <row r="44" spans="1:16" ht="15.6" x14ac:dyDescent="0.3">
      <c r="A44" s="81">
        <v>2500</v>
      </c>
      <c r="B44" s="79">
        <v>3150</v>
      </c>
      <c r="C44" s="23">
        <v>-290</v>
      </c>
      <c r="D44" s="23">
        <v>-290</v>
      </c>
      <c r="E44" s="23">
        <v>-290</v>
      </c>
      <c r="F44" s="23">
        <v>-290</v>
      </c>
      <c r="G44" s="23">
        <v>-290</v>
      </c>
      <c r="H44" s="23">
        <v>-290</v>
      </c>
      <c r="I44" s="75"/>
      <c r="J44" s="75"/>
      <c r="K44" s="75"/>
      <c r="L44" s="75"/>
      <c r="M44" s="75"/>
      <c r="N44" s="75"/>
      <c r="O44" s="75"/>
      <c r="P44" s="77"/>
    </row>
    <row r="45" spans="1:16" ht="16.2" thickBot="1" x14ac:dyDescent="0.35">
      <c r="A45" s="82"/>
      <c r="B45" s="80"/>
      <c r="C45" s="26">
        <v>-386</v>
      </c>
      <c r="D45" s="1">
        <v>-425</v>
      </c>
      <c r="E45" s="1">
        <v>-500</v>
      </c>
      <c r="F45" s="1">
        <v>-620</v>
      </c>
      <c r="G45" s="1">
        <v>-830</v>
      </c>
      <c r="H45" s="28">
        <v>-1150</v>
      </c>
      <c r="I45" s="76"/>
      <c r="J45" s="76"/>
      <c r="K45" s="76"/>
      <c r="L45" s="76"/>
      <c r="M45" s="76"/>
      <c r="N45" s="76"/>
      <c r="O45" s="76"/>
      <c r="P45" s="78"/>
    </row>
    <row r="46" spans="1:16" ht="16.2" thickBot="1" x14ac:dyDescent="0.35">
      <c r="A46" s="83" t="s">
        <v>13</v>
      </c>
      <c r="B46" s="84"/>
      <c r="C46" s="84"/>
      <c r="D46" s="84"/>
      <c r="E46" s="84"/>
      <c r="F46" s="84"/>
      <c r="G46" s="84"/>
      <c r="H46" s="84"/>
      <c r="I46" s="84"/>
      <c r="J46" s="84"/>
      <c r="K46" s="84"/>
      <c r="L46" s="84"/>
      <c r="M46" s="84"/>
      <c r="N46" s="84"/>
      <c r="O46" s="84"/>
      <c r="P46" s="85"/>
    </row>
    <row r="47" spans="1:16" ht="15.6" thickTop="1" x14ac:dyDescent="0.3"/>
  </sheetData>
  <mergeCells count="167">
    <mergeCell ref="I1:P2"/>
    <mergeCell ref="L44:L45"/>
    <mergeCell ref="M44:M45"/>
    <mergeCell ref="N44:N45"/>
    <mergeCell ref="O44:O45"/>
    <mergeCell ref="P44:P45"/>
    <mergeCell ref="A46:P46"/>
    <mergeCell ref="A44:A45"/>
    <mergeCell ref="B44:B45"/>
    <mergeCell ref="I44:I45"/>
    <mergeCell ref="J44:J45"/>
    <mergeCell ref="K44:K45"/>
    <mergeCell ref="K42:K43"/>
    <mergeCell ref="L42:L43"/>
    <mergeCell ref="M42:M43"/>
    <mergeCell ref="N42:N43"/>
    <mergeCell ref="O42:O43"/>
    <mergeCell ref="P42:P43"/>
    <mergeCell ref="L40:L41"/>
    <mergeCell ref="M40:M41"/>
    <mergeCell ref="N40:N41"/>
    <mergeCell ref="O40:O41"/>
    <mergeCell ref="P40:P41"/>
    <mergeCell ref="A42:A43"/>
    <mergeCell ref="B42:B43"/>
    <mergeCell ref="I42:I43"/>
    <mergeCell ref="J42:J43"/>
    <mergeCell ref="A40:A41"/>
    <mergeCell ref="B40:B41"/>
    <mergeCell ref="I40:I41"/>
    <mergeCell ref="J40:J41"/>
    <mergeCell ref="K40:K41"/>
    <mergeCell ref="K38:K39"/>
    <mergeCell ref="A38:A39"/>
    <mergeCell ref="B38:B39"/>
    <mergeCell ref="I38:I39"/>
    <mergeCell ref="J38:J39"/>
    <mergeCell ref="L38:L39"/>
    <mergeCell ref="M38:M39"/>
    <mergeCell ref="N38:N39"/>
    <mergeCell ref="O38:O39"/>
    <mergeCell ref="P38:P39"/>
    <mergeCell ref="L36:L37"/>
    <mergeCell ref="M36:M37"/>
    <mergeCell ref="N36:N37"/>
    <mergeCell ref="O36:O37"/>
    <mergeCell ref="P36:P37"/>
    <mergeCell ref="A36:A37"/>
    <mergeCell ref="B36:B37"/>
    <mergeCell ref="I36:I37"/>
    <mergeCell ref="J36:J37"/>
    <mergeCell ref="K36:K37"/>
    <mergeCell ref="K34:K35"/>
    <mergeCell ref="L34:L35"/>
    <mergeCell ref="M34:M35"/>
    <mergeCell ref="N34:N35"/>
    <mergeCell ref="A32:A33"/>
    <mergeCell ref="B32:B33"/>
    <mergeCell ref="I32:I33"/>
    <mergeCell ref="J32:J33"/>
    <mergeCell ref="K32:K33"/>
    <mergeCell ref="O34:O35"/>
    <mergeCell ref="P34:P35"/>
    <mergeCell ref="L32:L33"/>
    <mergeCell ref="M32:M33"/>
    <mergeCell ref="N32:N33"/>
    <mergeCell ref="O32:O33"/>
    <mergeCell ref="P32:P33"/>
    <mergeCell ref="A34:A35"/>
    <mergeCell ref="B34:B35"/>
    <mergeCell ref="I34:I35"/>
    <mergeCell ref="J34:J35"/>
    <mergeCell ref="O28:O29"/>
    <mergeCell ref="P28:P29"/>
    <mergeCell ref="A30:A31"/>
    <mergeCell ref="B30:B31"/>
    <mergeCell ref="I30:I31"/>
    <mergeCell ref="J30:J31"/>
    <mergeCell ref="K30:K31"/>
    <mergeCell ref="L30:L31"/>
    <mergeCell ref="O26:O27"/>
    <mergeCell ref="P26:P27"/>
    <mergeCell ref="A28:A29"/>
    <mergeCell ref="B28:B29"/>
    <mergeCell ref="I28:I29"/>
    <mergeCell ref="J28:J29"/>
    <mergeCell ref="K28:K29"/>
    <mergeCell ref="L28:L29"/>
    <mergeCell ref="M28:M29"/>
    <mergeCell ref="N28:N29"/>
    <mergeCell ref="M30:M31"/>
    <mergeCell ref="N30:N31"/>
    <mergeCell ref="O30:O31"/>
    <mergeCell ref="P30:P31"/>
    <mergeCell ref="P24:P25"/>
    <mergeCell ref="A26:A27"/>
    <mergeCell ref="B26:B27"/>
    <mergeCell ref="I26:I27"/>
    <mergeCell ref="J26:J27"/>
    <mergeCell ref="K26:K27"/>
    <mergeCell ref="L26:L27"/>
    <mergeCell ref="M26:M27"/>
    <mergeCell ref="N26:N27"/>
    <mergeCell ref="A24:A25"/>
    <mergeCell ref="B24:B25"/>
    <mergeCell ref="I24:I25"/>
    <mergeCell ref="J24:J25"/>
    <mergeCell ref="K24:K25"/>
    <mergeCell ref="L24:L25"/>
    <mergeCell ref="M24:M25"/>
    <mergeCell ref="N24:N25"/>
    <mergeCell ref="O24:O25"/>
    <mergeCell ref="P20:P21"/>
    <mergeCell ref="A22:A23"/>
    <mergeCell ref="B22:B23"/>
    <mergeCell ref="I22:I23"/>
    <mergeCell ref="J22:J23"/>
    <mergeCell ref="K22:K23"/>
    <mergeCell ref="L22:L23"/>
    <mergeCell ref="M22:M23"/>
    <mergeCell ref="N22:N23"/>
    <mergeCell ref="O22:O23"/>
    <mergeCell ref="P22:P23"/>
    <mergeCell ref="A20:A21"/>
    <mergeCell ref="B20:B21"/>
    <mergeCell ref="I20:I21"/>
    <mergeCell ref="J20:J21"/>
    <mergeCell ref="K20:K21"/>
    <mergeCell ref="L20:L21"/>
    <mergeCell ref="M20:M21"/>
    <mergeCell ref="N20:N21"/>
    <mergeCell ref="O20:O21"/>
    <mergeCell ref="O16:O17"/>
    <mergeCell ref="P16:P17"/>
    <mergeCell ref="A18:A19"/>
    <mergeCell ref="B18:B19"/>
    <mergeCell ref="I18:I19"/>
    <mergeCell ref="J18:J19"/>
    <mergeCell ref="K18:K19"/>
    <mergeCell ref="L18:L19"/>
    <mergeCell ref="M18:M19"/>
    <mergeCell ref="N18:N19"/>
    <mergeCell ref="A16:A17"/>
    <mergeCell ref="B16:B17"/>
    <mergeCell ref="I16:I17"/>
    <mergeCell ref="J16:J17"/>
    <mergeCell ref="K16:K17"/>
    <mergeCell ref="L16:L17"/>
    <mergeCell ref="M16:M17"/>
    <mergeCell ref="N16:N17"/>
    <mergeCell ref="O18:O19"/>
    <mergeCell ref="P18:P19"/>
    <mergeCell ref="A1:B1"/>
    <mergeCell ref="A2:B2"/>
    <mergeCell ref="C1:H2"/>
    <mergeCell ref="A4:A5"/>
    <mergeCell ref="B4:B5"/>
    <mergeCell ref="A14:A15"/>
    <mergeCell ref="B14:B15"/>
    <mergeCell ref="A12:A13"/>
    <mergeCell ref="B12:B13"/>
    <mergeCell ref="A6:A7"/>
    <mergeCell ref="B6:B7"/>
    <mergeCell ref="A8:A9"/>
    <mergeCell ref="B8:B9"/>
    <mergeCell ref="A10:A11"/>
    <mergeCell ref="B10:B11"/>
  </mergeCells>
  <phoneticPr fontId="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D4EA2-B2EE-49D5-AB1B-B62E5E8BAEA8}">
  <dimension ref="A1:R47"/>
  <sheetViews>
    <sheetView topLeftCell="A17" workbookViewId="0">
      <selection activeCell="S19" sqref="S19"/>
    </sheetView>
  </sheetViews>
  <sheetFormatPr defaultRowHeight="15" x14ac:dyDescent="0.3"/>
  <sheetData>
    <row r="1" spans="1:18" ht="16.2" thickTop="1" x14ac:dyDescent="0.3">
      <c r="A1" s="65" t="s">
        <v>0</v>
      </c>
      <c r="B1" s="66"/>
      <c r="C1" s="67" t="s">
        <v>14</v>
      </c>
      <c r="D1" s="68"/>
      <c r="E1" s="68"/>
      <c r="F1" s="68"/>
      <c r="G1" s="68"/>
      <c r="H1" s="68"/>
      <c r="I1" s="68"/>
      <c r="J1" s="86"/>
      <c r="K1" s="67" t="s">
        <v>15</v>
      </c>
      <c r="L1" s="68"/>
      <c r="M1" s="68"/>
      <c r="N1" s="68"/>
      <c r="O1" s="68"/>
      <c r="P1" s="68"/>
      <c r="Q1" s="68"/>
      <c r="R1" s="69"/>
    </row>
    <row r="2" spans="1:18" ht="16.2" thickBot="1" x14ac:dyDescent="0.35">
      <c r="A2" s="61" t="s">
        <v>1</v>
      </c>
      <c r="B2" s="62"/>
      <c r="C2" s="70"/>
      <c r="D2" s="71"/>
      <c r="E2" s="71"/>
      <c r="F2" s="71"/>
      <c r="G2" s="71"/>
      <c r="H2" s="71"/>
      <c r="I2" s="71"/>
      <c r="J2" s="62"/>
      <c r="K2" s="70"/>
      <c r="L2" s="71"/>
      <c r="M2" s="71"/>
      <c r="N2" s="71"/>
      <c r="O2" s="71"/>
      <c r="P2" s="71"/>
      <c r="Q2" s="71"/>
      <c r="R2" s="72"/>
    </row>
    <row r="3" spans="1:18" ht="16.2" thickBot="1" x14ac:dyDescent="0.35">
      <c r="A3" s="21" t="s">
        <v>3</v>
      </c>
      <c r="B3" s="20" t="s">
        <v>4</v>
      </c>
      <c r="C3" s="1">
        <v>3</v>
      </c>
      <c r="D3" s="1">
        <v>4</v>
      </c>
      <c r="E3" s="1">
        <v>5</v>
      </c>
      <c r="F3" s="1">
        <v>6</v>
      </c>
      <c r="G3" s="1">
        <v>7</v>
      </c>
      <c r="H3" s="1">
        <v>8</v>
      </c>
      <c r="I3" s="1">
        <v>9</v>
      </c>
      <c r="J3" s="1">
        <v>10</v>
      </c>
      <c r="K3" s="1">
        <v>3</v>
      </c>
      <c r="L3" s="1">
        <v>4</v>
      </c>
      <c r="M3" s="1">
        <v>5</v>
      </c>
      <c r="N3" s="1">
        <v>6</v>
      </c>
      <c r="O3" s="1">
        <v>7</v>
      </c>
      <c r="P3" s="1">
        <v>8</v>
      </c>
      <c r="Q3" s="1">
        <v>9</v>
      </c>
      <c r="R3" s="19">
        <v>10</v>
      </c>
    </row>
    <row r="4" spans="1:18" ht="15.6" x14ac:dyDescent="0.3">
      <c r="A4" s="73" t="s">
        <v>5</v>
      </c>
      <c r="B4" s="49">
        <v>3</v>
      </c>
      <c r="C4" s="23">
        <v>-6</v>
      </c>
      <c r="D4" s="23">
        <v>-6</v>
      </c>
      <c r="E4" s="23">
        <v>-6</v>
      </c>
      <c r="F4" s="23">
        <v>-6</v>
      </c>
      <c r="G4" s="23">
        <v>-6</v>
      </c>
      <c r="H4" s="23">
        <v>-6</v>
      </c>
      <c r="I4" s="23">
        <v>-6</v>
      </c>
      <c r="J4" s="23">
        <v>-6</v>
      </c>
      <c r="K4" s="23">
        <v>-4</v>
      </c>
      <c r="L4" s="23">
        <v>-4</v>
      </c>
      <c r="M4" s="23">
        <v>-4</v>
      </c>
      <c r="N4" s="23">
        <v>-4</v>
      </c>
      <c r="O4" s="23">
        <v>-4</v>
      </c>
      <c r="P4" s="23">
        <v>-4</v>
      </c>
      <c r="Q4" s="23">
        <v>-4</v>
      </c>
      <c r="R4" s="24">
        <v>-4</v>
      </c>
    </row>
    <row r="5" spans="1:18" ht="16.2" thickBot="1" x14ac:dyDescent="0.35">
      <c r="A5" s="74"/>
      <c r="B5" s="50"/>
      <c r="C5" s="1">
        <v>-8</v>
      </c>
      <c r="D5" s="1">
        <v>-9</v>
      </c>
      <c r="E5" s="1">
        <v>-10</v>
      </c>
      <c r="F5" s="1">
        <v>-12</v>
      </c>
      <c r="G5" s="1">
        <v>-16</v>
      </c>
      <c r="H5" s="1">
        <v>-20</v>
      </c>
      <c r="I5" s="1">
        <v>-31</v>
      </c>
      <c r="J5" s="1">
        <v>-46</v>
      </c>
      <c r="K5" s="1">
        <v>-6</v>
      </c>
      <c r="L5" s="1">
        <v>-7</v>
      </c>
      <c r="M5" s="1">
        <v>-8</v>
      </c>
      <c r="N5" s="1">
        <v>-10</v>
      </c>
      <c r="O5" s="1">
        <v>-14</v>
      </c>
      <c r="P5" s="1">
        <v>-18</v>
      </c>
      <c r="Q5" s="1">
        <v>-29</v>
      </c>
      <c r="R5" s="19">
        <v>-44</v>
      </c>
    </row>
    <row r="6" spans="1:18" ht="15.6" x14ac:dyDescent="0.3">
      <c r="A6" s="47">
        <v>3</v>
      </c>
      <c r="B6" s="49">
        <v>6</v>
      </c>
      <c r="C6" s="23">
        <v>-10</v>
      </c>
      <c r="D6" s="23">
        <v>-10</v>
      </c>
      <c r="E6" s="23">
        <v>-10</v>
      </c>
      <c r="F6" s="23">
        <v>-10</v>
      </c>
      <c r="G6" s="23">
        <v>-10</v>
      </c>
      <c r="H6" s="23">
        <v>-10</v>
      </c>
      <c r="I6" s="23">
        <v>-10</v>
      </c>
      <c r="J6" s="23">
        <v>-10</v>
      </c>
      <c r="K6" s="23">
        <v>-6</v>
      </c>
      <c r="L6" s="23">
        <v>-6</v>
      </c>
      <c r="M6" s="23">
        <v>-6</v>
      </c>
      <c r="N6" s="23">
        <v>-6</v>
      </c>
      <c r="O6" s="23">
        <v>-6</v>
      </c>
      <c r="P6" s="23">
        <v>-6</v>
      </c>
      <c r="Q6" s="23">
        <v>-6</v>
      </c>
      <c r="R6" s="24">
        <v>-6</v>
      </c>
    </row>
    <row r="7" spans="1:18" ht="16.2" thickBot="1" x14ac:dyDescent="0.35">
      <c r="A7" s="48"/>
      <c r="B7" s="50"/>
      <c r="C7" s="1">
        <v>-12.5</v>
      </c>
      <c r="D7" s="1">
        <v>-14</v>
      </c>
      <c r="E7" s="1">
        <v>-15</v>
      </c>
      <c r="F7" s="1">
        <v>-18</v>
      </c>
      <c r="G7" s="1">
        <v>-22</v>
      </c>
      <c r="H7" s="1">
        <v>-28</v>
      </c>
      <c r="I7" s="1">
        <v>-40</v>
      </c>
      <c r="J7" s="1">
        <v>-58</v>
      </c>
      <c r="K7" s="1">
        <v>-8.5</v>
      </c>
      <c r="L7" s="1">
        <v>-10</v>
      </c>
      <c r="M7" s="1">
        <v>-11</v>
      </c>
      <c r="N7" s="1">
        <v>-14</v>
      </c>
      <c r="O7" s="1">
        <v>-18</v>
      </c>
      <c r="P7" s="1">
        <v>-24</v>
      </c>
      <c r="Q7" s="1">
        <v>-36</v>
      </c>
      <c r="R7" s="19">
        <v>-54</v>
      </c>
    </row>
    <row r="8" spans="1:18" ht="15.6" x14ac:dyDescent="0.3">
      <c r="A8" s="47">
        <v>6</v>
      </c>
      <c r="B8" s="49">
        <v>10</v>
      </c>
      <c r="C8" s="23">
        <v>-13</v>
      </c>
      <c r="D8" s="23">
        <v>-13</v>
      </c>
      <c r="E8" s="23">
        <v>-13</v>
      </c>
      <c r="F8" s="23">
        <v>-13</v>
      </c>
      <c r="G8" s="23">
        <v>-13</v>
      </c>
      <c r="H8" s="23">
        <v>-13</v>
      </c>
      <c r="I8" s="23">
        <v>-13</v>
      </c>
      <c r="J8" s="23">
        <v>-13</v>
      </c>
      <c r="K8" s="23">
        <v>-8</v>
      </c>
      <c r="L8" s="23">
        <v>-8</v>
      </c>
      <c r="M8" s="23">
        <v>-8</v>
      </c>
      <c r="N8" s="23">
        <v>-8</v>
      </c>
      <c r="O8" s="23">
        <v>-8</v>
      </c>
      <c r="P8" s="23">
        <v>-8</v>
      </c>
      <c r="Q8" s="23">
        <v>-8</v>
      </c>
      <c r="R8" s="24">
        <v>-8</v>
      </c>
    </row>
    <row r="9" spans="1:18" ht="16.2" thickBot="1" x14ac:dyDescent="0.35">
      <c r="A9" s="48"/>
      <c r="B9" s="50"/>
      <c r="C9" s="1">
        <v>-15.5</v>
      </c>
      <c r="D9" s="1">
        <v>-17</v>
      </c>
      <c r="E9" s="1">
        <v>-19</v>
      </c>
      <c r="F9" s="1">
        <v>-22</v>
      </c>
      <c r="G9" s="1">
        <v>-28</v>
      </c>
      <c r="H9" s="1">
        <v>-35</v>
      </c>
      <c r="I9" s="1">
        <v>-49</v>
      </c>
      <c r="J9" s="1">
        <v>-71</v>
      </c>
      <c r="K9" s="1">
        <v>-10.5</v>
      </c>
      <c r="L9" s="1">
        <v>-12</v>
      </c>
      <c r="M9" s="1">
        <v>-14</v>
      </c>
      <c r="N9" s="1">
        <v>-17</v>
      </c>
      <c r="O9" s="1">
        <v>-23</v>
      </c>
      <c r="P9" s="1">
        <v>-30</v>
      </c>
      <c r="Q9" s="1">
        <v>-44</v>
      </c>
      <c r="R9" s="19">
        <v>-66</v>
      </c>
    </row>
    <row r="10" spans="1:18" ht="15.6" x14ac:dyDescent="0.3">
      <c r="A10" s="47">
        <v>10</v>
      </c>
      <c r="B10" s="49">
        <v>18</v>
      </c>
      <c r="C10" s="23">
        <v>-16</v>
      </c>
      <c r="D10" s="23">
        <v>-16</v>
      </c>
      <c r="E10" s="23">
        <v>-16</v>
      </c>
      <c r="F10" s="23">
        <v>-16</v>
      </c>
      <c r="G10" s="23">
        <v>-16</v>
      </c>
      <c r="H10" s="23">
        <v>-16</v>
      </c>
      <c r="I10" s="23">
        <v>-16</v>
      </c>
      <c r="J10" s="23">
        <v>-16</v>
      </c>
      <c r="K10" s="23">
        <v>-10</v>
      </c>
      <c r="L10" s="23">
        <v>-10</v>
      </c>
      <c r="M10" s="23">
        <v>-10</v>
      </c>
      <c r="N10" s="23">
        <v>-10</v>
      </c>
      <c r="O10" s="23">
        <v>-10</v>
      </c>
      <c r="P10" s="23">
        <v>-10</v>
      </c>
      <c r="Q10" s="23">
        <v>-10</v>
      </c>
      <c r="R10" s="23">
        <v>-10</v>
      </c>
    </row>
    <row r="11" spans="1:18" ht="16.2" thickBot="1" x14ac:dyDescent="0.35">
      <c r="A11" s="48"/>
      <c r="B11" s="50"/>
      <c r="C11" s="1">
        <v>-19</v>
      </c>
      <c r="D11" s="1">
        <v>-21</v>
      </c>
      <c r="E11" s="1">
        <v>-24</v>
      </c>
      <c r="F11" s="1">
        <v>-27</v>
      </c>
      <c r="G11" s="1">
        <v>-34</v>
      </c>
      <c r="H11" s="1">
        <v>-43</v>
      </c>
      <c r="I11" s="1">
        <v>-59</v>
      </c>
      <c r="J11" s="1">
        <v>-86</v>
      </c>
      <c r="K11" s="1">
        <f>-10-(3)</f>
        <v>-13</v>
      </c>
      <c r="L11" s="1">
        <f>-10-(5)</f>
        <v>-15</v>
      </c>
      <c r="M11" s="1">
        <f>-10-(8)</f>
        <v>-18</v>
      </c>
      <c r="N11" s="1">
        <f>-10-(11)</f>
        <v>-21</v>
      </c>
      <c r="O11" s="1">
        <f>-10-(18)</f>
        <v>-28</v>
      </c>
      <c r="P11" s="1">
        <f>-10-(27)</f>
        <v>-37</v>
      </c>
      <c r="Q11" s="1">
        <f>-10-(43)</f>
        <v>-53</v>
      </c>
      <c r="R11" s="1">
        <f>-10-(70)</f>
        <v>-80</v>
      </c>
    </row>
    <row r="12" spans="1:18" ht="15.6" x14ac:dyDescent="0.3">
      <c r="A12" s="47">
        <v>18</v>
      </c>
      <c r="B12" s="49">
        <v>30</v>
      </c>
      <c r="C12" s="23">
        <v>-20</v>
      </c>
      <c r="D12" s="23">
        <v>-20</v>
      </c>
      <c r="E12" s="23">
        <v>-20</v>
      </c>
      <c r="F12" s="23">
        <v>-20</v>
      </c>
      <c r="G12" s="23">
        <v>-20</v>
      </c>
      <c r="H12" s="23">
        <v>-20</v>
      </c>
      <c r="I12" s="23">
        <v>-20</v>
      </c>
      <c r="J12" s="23">
        <v>-20</v>
      </c>
      <c r="K12" s="23">
        <v>-12</v>
      </c>
      <c r="L12" s="23">
        <v>-12</v>
      </c>
      <c r="M12" s="23">
        <v>-12</v>
      </c>
      <c r="N12" s="23">
        <v>-12</v>
      </c>
      <c r="O12" s="23">
        <v>-12</v>
      </c>
      <c r="P12" s="23">
        <v>-12</v>
      </c>
      <c r="Q12" s="23">
        <v>-12</v>
      </c>
      <c r="R12" s="23">
        <v>-12</v>
      </c>
    </row>
    <row r="13" spans="1:18" ht="16.2" thickBot="1" x14ac:dyDescent="0.35">
      <c r="A13" s="48"/>
      <c r="B13" s="50"/>
      <c r="C13" s="1">
        <v>-24</v>
      </c>
      <c r="D13" s="1">
        <v>-26</v>
      </c>
      <c r="E13" s="1">
        <v>-29</v>
      </c>
      <c r="F13" s="1">
        <v>-33</v>
      </c>
      <c r="G13" s="1">
        <v>-41</v>
      </c>
      <c r="H13" s="1">
        <v>-53</v>
      </c>
      <c r="I13" s="1">
        <v>-72</v>
      </c>
      <c r="J13" s="1">
        <v>-104</v>
      </c>
      <c r="K13" s="1">
        <f>-12-(4)</f>
        <v>-16</v>
      </c>
      <c r="L13" s="1">
        <f>-12-(6)</f>
        <v>-18</v>
      </c>
      <c r="M13" s="1">
        <f>-12-(9)</f>
        <v>-21</v>
      </c>
      <c r="N13" s="1">
        <f>-12-(13)</f>
        <v>-25</v>
      </c>
      <c r="O13" s="1">
        <f>-12-(21)</f>
        <v>-33</v>
      </c>
      <c r="P13" s="1">
        <f>-12-(33)</f>
        <v>-45</v>
      </c>
      <c r="Q13" s="1">
        <f>-12-(52)</f>
        <v>-64</v>
      </c>
      <c r="R13" s="1">
        <f>-12-(84)</f>
        <v>-96</v>
      </c>
    </row>
    <row r="14" spans="1:18" ht="15.6" x14ac:dyDescent="0.3">
      <c r="A14" s="47">
        <v>30</v>
      </c>
      <c r="B14" s="49">
        <v>50</v>
      </c>
      <c r="C14" s="23">
        <v>-25</v>
      </c>
      <c r="D14" s="23">
        <v>-25</v>
      </c>
      <c r="E14" s="23">
        <v>-25</v>
      </c>
      <c r="F14" s="23">
        <v>-25</v>
      </c>
      <c r="G14" s="23">
        <v>-25</v>
      </c>
      <c r="H14" s="23">
        <v>-25</v>
      </c>
      <c r="I14" s="23">
        <v>-25</v>
      </c>
      <c r="J14" s="23">
        <v>-25</v>
      </c>
      <c r="K14" s="23">
        <v>-15</v>
      </c>
      <c r="L14" s="23">
        <v>-15</v>
      </c>
      <c r="M14" s="23">
        <v>-15</v>
      </c>
      <c r="N14" s="23">
        <v>-15</v>
      </c>
      <c r="O14" s="23">
        <v>-15</v>
      </c>
      <c r="P14" s="23">
        <v>-15</v>
      </c>
      <c r="Q14" s="23">
        <v>-15</v>
      </c>
      <c r="R14" s="23">
        <v>-15</v>
      </c>
    </row>
    <row r="15" spans="1:18" ht="16.2" thickBot="1" x14ac:dyDescent="0.35">
      <c r="A15" s="48"/>
      <c r="B15" s="50"/>
      <c r="C15" s="1">
        <v>-29</v>
      </c>
      <c r="D15" s="1">
        <v>-32</v>
      </c>
      <c r="E15" s="1">
        <v>-36</v>
      </c>
      <c r="F15" s="1">
        <v>-41</v>
      </c>
      <c r="G15" s="1">
        <v>-50</v>
      </c>
      <c r="H15" s="1">
        <v>-64</v>
      </c>
      <c r="I15" s="1">
        <v>-87</v>
      </c>
      <c r="J15" s="1">
        <v>-125</v>
      </c>
      <c r="K15" s="1">
        <f>-15-(4)</f>
        <v>-19</v>
      </c>
      <c r="L15" s="1">
        <f>-15-(7)</f>
        <v>-22</v>
      </c>
      <c r="M15" s="1">
        <f>-15-(11)</f>
        <v>-26</v>
      </c>
      <c r="N15" s="1">
        <f>-15-(16)</f>
        <v>-31</v>
      </c>
      <c r="O15" s="1">
        <f>-15-(25)</f>
        <v>-40</v>
      </c>
      <c r="P15" s="1">
        <f>-15-(39)</f>
        <v>-54</v>
      </c>
      <c r="Q15" s="1">
        <f>-15-(62)</f>
        <v>-77</v>
      </c>
      <c r="R15" s="1">
        <f>-15-(100)</f>
        <v>-115</v>
      </c>
    </row>
    <row r="16" spans="1:18" ht="15.6" x14ac:dyDescent="0.3">
      <c r="A16" s="47">
        <v>50</v>
      </c>
      <c r="B16" s="49">
        <v>80</v>
      </c>
      <c r="C16" s="23">
        <v>-30</v>
      </c>
      <c r="D16" s="23">
        <v>-30</v>
      </c>
      <c r="E16" s="23">
        <v>-30</v>
      </c>
      <c r="F16" s="23">
        <v>-30</v>
      </c>
      <c r="G16" s="23">
        <v>-30</v>
      </c>
      <c r="H16" s="23">
        <v>-30</v>
      </c>
      <c r="I16" s="23">
        <v>-30</v>
      </c>
      <c r="J16" s="23">
        <v>-30</v>
      </c>
      <c r="K16" s="75"/>
      <c r="L16" s="75"/>
      <c r="M16" s="75"/>
      <c r="N16" s="75"/>
      <c r="O16" s="75"/>
      <c r="P16" s="75"/>
      <c r="Q16" s="75"/>
      <c r="R16" s="77"/>
    </row>
    <row r="17" spans="1:18" ht="16.2" thickBot="1" x14ac:dyDescent="0.35">
      <c r="A17" s="48"/>
      <c r="B17" s="50"/>
      <c r="C17" s="1">
        <f>-30-5</f>
        <v>-35</v>
      </c>
      <c r="D17" s="1">
        <v>-38</v>
      </c>
      <c r="E17" s="1">
        <v>-43</v>
      </c>
      <c r="F17" s="1">
        <v>-49</v>
      </c>
      <c r="G17" s="1">
        <v>-60</v>
      </c>
      <c r="H17" s="1">
        <v>-76</v>
      </c>
      <c r="I17" s="1">
        <v>-104</v>
      </c>
      <c r="J17" s="1">
        <f>-30-120</f>
        <v>-150</v>
      </c>
      <c r="K17" s="76"/>
      <c r="L17" s="76"/>
      <c r="M17" s="76"/>
      <c r="N17" s="76"/>
      <c r="O17" s="76"/>
      <c r="P17" s="76"/>
      <c r="Q17" s="76"/>
      <c r="R17" s="78"/>
    </row>
    <row r="18" spans="1:18" ht="15.6" x14ac:dyDescent="0.3">
      <c r="A18" s="47">
        <v>80</v>
      </c>
      <c r="B18" s="49">
        <v>120</v>
      </c>
      <c r="C18" s="23">
        <v>-36</v>
      </c>
      <c r="D18" s="23">
        <v>-36</v>
      </c>
      <c r="E18" s="23">
        <v>-36</v>
      </c>
      <c r="F18" s="23">
        <v>-36</v>
      </c>
      <c r="G18" s="23">
        <v>-36</v>
      </c>
      <c r="H18" s="23">
        <v>-36</v>
      </c>
      <c r="I18" s="23">
        <v>-36</v>
      </c>
      <c r="J18" s="23">
        <v>-36</v>
      </c>
      <c r="K18" s="75"/>
      <c r="L18" s="75"/>
      <c r="M18" s="75"/>
      <c r="N18" s="75"/>
      <c r="O18" s="75"/>
      <c r="P18" s="75"/>
      <c r="Q18" s="75"/>
      <c r="R18" s="77"/>
    </row>
    <row r="19" spans="1:18" ht="16.2" thickBot="1" x14ac:dyDescent="0.35">
      <c r="A19" s="48"/>
      <c r="B19" s="50"/>
      <c r="C19" s="1">
        <f>-36-6</f>
        <v>-42</v>
      </c>
      <c r="D19" s="1">
        <v>-46</v>
      </c>
      <c r="E19" s="1">
        <v>-51</v>
      </c>
      <c r="F19" s="1">
        <v>-58</v>
      </c>
      <c r="G19" s="1">
        <v>-71</v>
      </c>
      <c r="H19" s="1">
        <v>-90</v>
      </c>
      <c r="I19" s="1">
        <v>-123</v>
      </c>
      <c r="J19" s="1">
        <f>-36-140</f>
        <v>-176</v>
      </c>
      <c r="K19" s="76"/>
      <c r="L19" s="76"/>
      <c r="M19" s="76"/>
      <c r="N19" s="76"/>
      <c r="O19" s="76"/>
      <c r="P19" s="76"/>
      <c r="Q19" s="76"/>
      <c r="R19" s="78"/>
    </row>
    <row r="20" spans="1:18" ht="15.6" x14ac:dyDescent="0.3">
      <c r="A20" s="47">
        <v>120</v>
      </c>
      <c r="B20" s="49">
        <v>180</v>
      </c>
      <c r="C20" s="23">
        <v>-43</v>
      </c>
      <c r="D20" s="23">
        <v>-43</v>
      </c>
      <c r="E20" s="23">
        <v>-43</v>
      </c>
      <c r="F20" s="23">
        <v>-43</v>
      </c>
      <c r="G20" s="23">
        <v>-43</v>
      </c>
      <c r="H20" s="23">
        <v>-43</v>
      </c>
      <c r="I20" s="23">
        <v>-43</v>
      </c>
      <c r="J20" s="23">
        <v>-43</v>
      </c>
      <c r="K20" s="75"/>
      <c r="L20" s="75"/>
      <c r="M20" s="75"/>
      <c r="N20" s="75"/>
      <c r="O20" s="75"/>
      <c r="P20" s="75"/>
      <c r="Q20" s="75"/>
      <c r="R20" s="77"/>
    </row>
    <row r="21" spans="1:18" ht="16.2" thickBot="1" x14ac:dyDescent="0.35">
      <c r="A21" s="48"/>
      <c r="B21" s="50"/>
      <c r="C21" s="1">
        <f>-43-8</f>
        <v>-51</v>
      </c>
      <c r="D21" s="1">
        <v>-55</v>
      </c>
      <c r="E21" s="1">
        <v>-61</v>
      </c>
      <c r="F21" s="1">
        <v>-68</v>
      </c>
      <c r="G21" s="1">
        <v>-83</v>
      </c>
      <c r="H21" s="1">
        <v>-106</v>
      </c>
      <c r="I21" s="1">
        <v>-143</v>
      </c>
      <c r="J21" s="1">
        <f>-43-160</f>
        <v>-203</v>
      </c>
      <c r="K21" s="76"/>
      <c r="L21" s="76"/>
      <c r="M21" s="76"/>
      <c r="N21" s="76"/>
      <c r="O21" s="76"/>
      <c r="P21" s="76"/>
      <c r="Q21" s="76"/>
      <c r="R21" s="78"/>
    </row>
    <row r="22" spans="1:18" ht="15.6" x14ac:dyDescent="0.3">
      <c r="A22" s="47">
        <v>180</v>
      </c>
      <c r="B22" s="49">
        <v>250</v>
      </c>
      <c r="C22" s="23">
        <v>-50</v>
      </c>
      <c r="D22" s="23">
        <v>-50</v>
      </c>
      <c r="E22" s="23">
        <v>-50</v>
      </c>
      <c r="F22" s="23">
        <v>-50</v>
      </c>
      <c r="G22" s="23">
        <v>-50</v>
      </c>
      <c r="H22" s="23">
        <v>-50</v>
      </c>
      <c r="I22" s="23">
        <v>-50</v>
      </c>
      <c r="J22" s="23">
        <v>-50</v>
      </c>
      <c r="K22" s="75"/>
      <c r="L22" s="75"/>
      <c r="M22" s="75"/>
      <c r="N22" s="75"/>
      <c r="O22" s="75"/>
      <c r="P22" s="75"/>
      <c r="Q22" s="75"/>
      <c r="R22" s="77"/>
    </row>
    <row r="23" spans="1:18" ht="16.2" thickBot="1" x14ac:dyDescent="0.35">
      <c r="A23" s="48"/>
      <c r="B23" s="50"/>
      <c r="C23" s="1">
        <f>-50-10</f>
        <v>-60</v>
      </c>
      <c r="D23" s="1">
        <v>-64</v>
      </c>
      <c r="E23" s="1">
        <v>-70</v>
      </c>
      <c r="F23" s="1">
        <v>-79</v>
      </c>
      <c r="G23" s="1">
        <v>-96</v>
      </c>
      <c r="H23" s="1">
        <v>-122</v>
      </c>
      <c r="I23" s="1">
        <v>-165</v>
      </c>
      <c r="J23" s="1">
        <f>-50-185</f>
        <v>-235</v>
      </c>
      <c r="K23" s="76"/>
      <c r="L23" s="76"/>
      <c r="M23" s="76"/>
      <c r="N23" s="76"/>
      <c r="O23" s="76"/>
      <c r="P23" s="76"/>
      <c r="Q23" s="76"/>
      <c r="R23" s="78"/>
    </row>
    <row r="24" spans="1:18" ht="15.6" x14ac:dyDescent="0.3">
      <c r="A24" s="47">
        <v>250</v>
      </c>
      <c r="B24" s="49">
        <v>315</v>
      </c>
      <c r="C24" s="23">
        <v>-56</v>
      </c>
      <c r="D24" s="23">
        <v>-56</v>
      </c>
      <c r="E24" s="23">
        <v>-56</v>
      </c>
      <c r="F24" s="23">
        <v>-56</v>
      </c>
      <c r="G24" s="23">
        <v>-56</v>
      </c>
      <c r="H24" s="23">
        <v>-56</v>
      </c>
      <c r="I24" s="23">
        <v>-56</v>
      </c>
      <c r="J24" s="23">
        <v>-56</v>
      </c>
      <c r="K24" s="75"/>
      <c r="L24" s="75"/>
      <c r="M24" s="75"/>
      <c r="N24" s="75"/>
      <c r="O24" s="75"/>
      <c r="P24" s="75"/>
      <c r="Q24" s="75"/>
      <c r="R24" s="77"/>
    </row>
    <row r="25" spans="1:18" ht="16.2" thickBot="1" x14ac:dyDescent="0.35">
      <c r="A25" s="48"/>
      <c r="B25" s="50"/>
      <c r="C25" s="1">
        <f>-56-12</f>
        <v>-68</v>
      </c>
      <c r="D25" s="1">
        <v>-72</v>
      </c>
      <c r="E25" s="1">
        <v>-79</v>
      </c>
      <c r="F25" s="1">
        <v>-88</v>
      </c>
      <c r="G25" s="1">
        <v>-108</v>
      </c>
      <c r="H25" s="1">
        <v>-137</v>
      </c>
      <c r="I25" s="1">
        <v>-186</v>
      </c>
      <c r="J25" s="1">
        <f>-56-210</f>
        <v>-266</v>
      </c>
      <c r="K25" s="76"/>
      <c r="L25" s="76"/>
      <c r="M25" s="76"/>
      <c r="N25" s="76"/>
      <c r="O25" s="76"/>
      <c r="P25" s="76"/>
      <c r="Q25" s="76"/>
      <c r="R25" s="78"/>
    </row>
    <row r="26" spans="1:18" ht="15.6" x14ac:dyDescent="0.3">
      <c r="A26" s="47">
        <v>315</v>
      </c>
      <c r="B26" s="49">
        <v>400</v>
      </c>
      <c r="C26" s="23">
        <v>-62</v>
      </c>
      <c r="D26" s="23">
        <v>-62</v>
      </c>
      <c r="E26" s="23">
        <v>-62</v>
      </c>
      <c r="F26" s="23">
        <v>-62</v>
      </c>
      <c r="G26" s="23">
        <v>-62</v>
      </c>
      <c r="H26" s="23">
        <v>-62</v>
      </c>
      <c r="I26" s="23">
        <v>-62</v>
      </c>
      <c r="J26" s="23">
        <v>-62</v>
      </c>
      <c r="K26" s="75"/>
      <c r="L26" s="75"/>
      <c r="M26" s="75"/>
      <c r="N26" s="75"/>
      <c r="O26" s="75"/>
      <c r="P26" s="75"/>
      <c r="Q26" s="75"/>
      <c r="R26" s="77"/>
    </row>
    <row r="27" spans="1:18" ht="16.2" thickBot="1" x14ac:dyDescent="0.35">
      <c r="A27" s="48"/>
      <c r="B27" s="50"/>
      <c r="C27" s="1">
        <f>-62-13</f>
        <v>-75</v>
      </c>
      <c r="D27" s="1">
        <v>-80</v>
      </c>
      <c r="E27" s="1">
        <v>-87</v>
      </c>
      <c r="F27" s="1">
        <v>-98</v>
      </c>
      <c r="G27" s="1">
        <v>-119</v>
      </c>
      <c r="H27" s="1">
        <v>-151</v>
      </c>
      <c r="I27" s="1">
        <v>-202</v>
      </c>
      <c r="J27" s="1">
        <f>-62-230</f>
        <v>-292</v>
      </c>
      <c r="K27" s="76"/>
      <c r="L27" s="76"/>
      <c r="M27" s="76"/>
      <c r="N27" s="76"/>
      <c r="O27" s="76"/>
      <c r="P27" s="76"/>
      <c r="Q27" s="76"/>
      <c r="R27" s="78"/>
    </row>
    <row r="28" spans="1:18" ht="15.6" x14ac:dyDescent="0.3">
      <c r="A28" s="47">
        <v>400</v>
      </c>
      <c r="B28" s="49">
        <v>500</v>
      </c>
      <c r="C28" s="23">
        <v>-68</v>
      </c>
      <c r="D28" s="23">
        <v>-68</v>
      </c>
      <c r="E28" s="23">
        <v>-68</v>
      </c>
      <c r="F28" s="23">
        <v>-68</v>
      </c>
      <c r="G28" s="23">
        <v>-68</v>
      </c>
      <c r="H28" s="23">
        <v>-68</v>
      </c>
      <c r="I28" s="23">
        <v>-68</v>
      </c>
      <c r="J28" s="23">
        <v>-68</v>
      </c>
      <c r="K28" s="75"/>
      <c r="L28" s="75"/>
      <c r="M28" s="75"/>
      <c r="N28" s="75"/>
      <c r="O28" s="75"/>
      <c r="P28" s="75"/>
      <c r="Q28" s="75"/>
      <c r="R28" s="77"/>
    </row>
    <row r="29" spans="1:18" ht="16.2" thickBot="1" x14ac:dyDescent="0.35">
      <c r="A29" s="48"/>
      <c r="B29" s="50"/>
      <c r="C29" s="1">
        <f>-68-15</f>
        <v>-83</v>
      </c>
      <c r="D29" s="1">
        <v>-88</v>
      </c>
      <c r="E29" s="1">
        <v>-95</v>
      </c>
      <c r="F29" s="1">
        <v>-108</v>
      </c>
      <c r="G29" s="1">
        <v>-131</v>
      </c>
      <c r="H29" s="1">
        <v>-165</v>
      </c>
      <c r="I29" s="1">
        <v>-223</v>
      </c>
      <c r="J29" s="1">
        <f>-68-250</f>
        <v>-318</v>
      </c>
      <c r="K29" s="76"/>
      <c r="L29" s="76"/>
      <c r="M29" s="76"/>
      <c r="N29" s="76"/>
      <c r="O29" s="76"/>
      <c r="P29" s="76"/>
      <c r="Q29" s="76"/>
      <c r="R29" s="78"/>
    </row>
    <row r="30" spans="1:18" ht="15.6" x14ac:dyDescent="0.3">
      <c r="A30" s="47">
        <v>500</v>
      </c>
      <c r="B30" s="49">
        <v>630</v>
      </c>
      <c r="C30" s="23">
        <v>-76</v>
      </c>
      <c r="D30" s="23">
        <v>-76</v>
      </c>
      <c r="E30" s="23">
        <v>-76</v>
      </c>
      <c r="F30" s="23">
        <v>-76</v>
      </c>
      <c r="G30" s="23">
        <v>-76</v>
      </c>
      <c r="H30" s="23">
        <v>-76</v>
      </c>
      <c r="I30" s="23">
        <v>-76</v>
      </c>
      <c r="J30" s="23">
        <v>-76</v>
      </c>
      <c r="K30" s="75"/>
      <c r="L30" s="75"/>
      <c r="M30" s="75"/>
      <c r="N30" s="75"/>
      <c r="O30" s="75"/>
      <c r="P30" s="75"/>
      <c r="Q30" s="75"/>
      <c r="R30" s="77"/>
    </row>
    <row r="31" spans="1:18" ht="16.2" thickBot="1" x14ac:dyDescent="0.35">
      <c r="A31" s="48"/>
      <c r="B31" s="50"/>
      <c r="C31" s="1">
        <f>-76-(16)</f>
        <v>-92</v>
      </c>
      <c r="D31" s="1">
        <f>-76-(22)</f>
        <v>-98</v>
      </c>
      <c r="E31" s="1">
        <f>-76-(32)</f>
        <v>-108</v>
      </c>
      <c r="F31" s="1">
        <v>-120</v>
      </c>
      <c r="G31" s="1">
        <v>-146</v>
      </c>
      <c r="H31" s="1">
        <v>-186</v>
      </c>
      <c r="I31" s="1">
        <v>-251</v>
      </c>
      <c r="J31" s="1">
        <f>-76-280</f>
        <v>-356</v>
      </c>
      <c r="K31" s="76"/>
      <c r="L31" s="76"/>
      <c r="M31" s="76"/>
      <c r="N31" s="76"/>
      <c r="O31" s="76"/>
      <c r="P31" s="76"/>
      <c r="Q31" s="76"/>
      <c r="R31" s="78"/>
    </row>
    <row r="32" spans="1:18" ht="15.6" x14ac:dyDescent="0.3">
      <c r="A32" s="47">
        <v>630</v>
      </c>
      <c r="B32" s="49">
        <v>800</v>
      </c>
      <c r="C32" s="23">
        <v>-80</v>
      </c>
      <c r="D32" s="23">
        <v>-80</v>
      </c>
      <c r="E32" s="23">
        <v>-80</v>
      </c>
      <c r="F32" s="23">
        <v>-80</v>
      </c>
      <c r="G32" s="23">
        <v>-80</v>
      </c>
      <c r="H32" s="23">
        <v>-80</v>
      </c>
      <c r="I32" s="23">
        <v>-80</v>
      </c>
      <c r="J32" s="23">
        <v>-80</v>
      </c>
      <c r="K32" s="75"/>
      <c r="L32" s="75"/>
      <c r="M32" s="75"/>
      <c r="N32" s="75"/>
      <c r="O32" s="75"/>
      <c r="P32" s="75"/>
      <c r="Q32" s="75"/>
      <c r="R32" s="77"/>
    </row>
    <row r="33" spans="1:18" ht="16.2" thickBot="1" x14ac:dyDescent="0.35">
      <c r="A33" s="48"/>
      <c r="B33" s="50"/>
      <c r="C33" s="1">
        <f>-80-(18)</f>
        <v>-98</v>
      </c>
      <c r="D33" s="1">
        <f>-80-(25)</f>
        <v>-105</v>
      </c>
      <c r="E33" s="1">
        <f>-80-(36)</f>
        <v>-116</v>
      </c>
      <c r="F33" s="1">
        <v>-130</v>
      </c>
      <c r="G33" s="1">
        <v>-160</v>
      </c>
      <c r="H33" s="1">
        <v>-205</v>
      </c>
      <c r="I33" s="1">
        <v>-280</v>
      </c>
      <c r="J33" s="1">
        <f>-80-320</f>
        <v>-400</v>
      </c>
      <c r="K33" s="76"/>
      <c r="L33" s="76"/>
      <c r="M33" s="76"/>
      <c r="N33" s="76"/>
      <c r="O33" s="76"/>
      <c r="P33" s="76"/>
      <c r="Q33" s="76"/>
      <c r="R33" s="78"/>
    </row>
    <row r="34" spans="1:18" ht="15.6" x14ac:dyDescent="0.3">
      <c r="A34" s="47">
        <v>800</v>
      </c>
      <c r="B34" s="79">
        <v>1000</v>
      </c>
      <c r="C34" s="23">
        <v>-86</v>
      </c>
      <c r="D34" s="23">
        <v>-86</v>
      </c>
      <c r="E34" s="23">
        <v>-86</v>
      </c>
      <c r="F34" s="23">
        <v>-86</v>
      </c>
      <c r="G34" s="23">
        <v>-86</v>
      </c>
      <c r="H34" s="23">
        <v>-86</v>
      </c>
      <c r="I34" s="23">
        <v>-86</v>
      </c>
      <c r="J34" s="23">
        <v>-86</v>
      </c>
      <c r="K34" s="75"/>
      <c r="L34" s="75"/>
      <c r="M34" s="75"/>
      <c r="N34" s="75"/>
      <c r="O34" s="75"/>
      <c r="P34" s="75"/>
      <c r="Q34" s="75"/>
      <c r="R34" s="77"/>
    </row>
    <row r="35" spans="1:18" ht="16.2" thickBot="1" x14ac:dyDescent="0.35">
      <c r="A35" s="48"/>
      <c r="B35" s="80"/>
      <c r="C35" s="1">
        <f>-86-(21)</f>
        <v>-107</v>
      </c>
      <c r="D35" s="1">
        <f>-86-(28)</f>
        <v>-114</v>
      </c>
      <c r="E35" s="1">
        <f>-86-(40)</f>
        <v>-126</v>
      </c>
      <c r="F35" s="1">
        <v>-142</v>
      </c>
      <c r="G35" s="1">
        <v>-176</v>
      </c>
      <c r="H35" s="1">
        <v>-226</v>
      </c>
      <c r="I35" s="1">
        <v>-316</v>
      </c>
      <c r="J35" s="1">
        <f>-86-360</f>
        <v>-446</v>
      </c>
      <c r="K35" s="76"/>
      <c r="L35" s="76"/>
      <c r="M35" s="76"/>
      <c r="N35" s="76"/>
      <c r="O35" s="76"/>
      <c r="P35" s="76"/>
      <c r="Q35" s="76"/>
      <c r="R35" s="78"/>
    </row>
    <row r="36" spans="1:18" ht="15.6" x14ac:dyDescent="0.3">
      <c r="A36" s="81">
        <v>1000</v>
      </c>
      <c r="B36" s="79">
        <v>1250</v>
      </c>
      <c r="C36" s="23">
        <v>-98</v>
      </c>
      <c r="D36" s="23">
        <v>-98</v>
      </c>
      <c r="E36" s="23">
        <v>-98</v>
      </c>
      <c r="F36" s="23">
        <v>-98</v>
      </c>
      <c r="G36" s="23">
        <v>-98</v>
      </c>
      <c r="H36" s="23">
        <v>-98</v>
      </c>
      <c r="I36" s="23">
        <v>-98</v>
      </c>
      <c r="J36" s="23">
        <v>-98</v>
      </c>
      <c r="K36" s="75"/>
      <c r="L36" s="75"/>
      <c r="M36" s="75"/>
      <c r="N36" s="75"/>
      <c r="O36" s="75"/>
      <c r="P36" s="75"/>
      <c r="Q36" s="75"/>
      <c r="R36" s="77"/>
    </row>
    <row r="37" spans="1:18" ht="16.2" thickBot="1" x14ac:dyDescent="0.35">
      <c r="A37" s="82"/>
      <c r="B37" s="80"/>
      <c r="C37" s="1">
        <f>-98-(24)</f>
        <v>-122</v>
      </c>
      <c r="D37" s="1">
        <f>-98-(33)</f>
        <v>-131</v>
      </c>
      <c r="E37" s="1">
        <f>-98-(47)</f>
        <v>-145</v>
      </c>
      <c r="F37" s="1">
        <v>-164</v>
      </c>
      <c r="G37" s="1">
        <v>-203</v>
      </c>
      <c r="H37" s="1">
        <v>-263</v>
      </c>
      <c r="I37" s="1">
        <v>-358</v>
      </c>
      <c r="J37" s="1">
        <f>-98-420</f>
        <v>-518</v>
      </c>
      <c r="K37" s="76"/>
      <c r="L37" s="76"/>
      <c r="M37" s="76"/>
      <c r="N37" s="76"/>
      <c r="O37" s="76"/>
      <c r="P37" s="76"/>
      <c r="Q37" s="76"/>
      <c r="R37" s="78"/>
    </row>
    <row r="38" spans="1:18" ht="15.6" x14ac:dyDescent="0.3">
      <c r="A38" s="81">
        <v>1250</v>
      </c>
      <c r="B38" s="79">
        <v>1600</v>
      </c>
      <c r="C38" s="23">
        <v>-110</v>
      </c>
      <c r="D38" s="23">
        <v>-110</v>
      </c>
      <c r="E38" s="23">
        <v>-110</v>
      </c>
      <c r="F38" s="23">
        <v>-110</v>
      </c>
      <c r="G38" s="23">
        <v>-110</v>
      </c>
      <c r="H38" s="23">
        <v>-110</v>
      </c>
      <c r="I38" s="23">
        <v>-110</v>
      </c>
      <c r="J38" s="23">
        <v>-110</v>
      </c>
      <c r="K38" s="75"/>
      <c r="L38" s="75"/>
      <c r="M38" s="75"/>
      <c r="N38" s="75"/>
      <c r="O38" s="75"/>
      <c r="P38" s="75"/>
      <c r="Q38" s="75"/>
      <c r="R38" s="77"/>
    </row>
    <row r="39" spans="1:18" ht="16.2" thickBot="1" x14ac:dyDescent="0.35">
      <c r="A39" s="82"/>
      <c r="B39" s="80"/>
      <c r="C39" s="1">
        <f>-110-(29)</f>
        <v>-139</v>
      </c>
      <c r="D39" s="1">
        <f>-110-(39)</f>
        <v>-149</v>
      </c>
      <c r="E39" s="1">
        <f>-110-(55)</f>
        <v>-165</v>
      </c>
      <c r="F39" s="1">
        <v>-188</v>
      </c>
      <c r="G39" s="1">
        <v>-235</v>
      </c>
      <c r="H39" s="1">
        <v>-305</v>
      </c>
      <c r="I39" s="1">
        <v>-420</v>
      </c>
      <c r="J39" s="1">
        <f>-110-500</f>
        <v>-610</v>
      </c>
      <c r="K39" s="76"/>
      <c r="L39" s="76"/>
      <c r="M39" s="76"/>
      <c r="N39" s="76"/>
      <c r="O39" s="76"/>
      <c r="P39" s="76"/>
      <c r="Q39" s="76"/>
      <c r="R39" s="78"/>
    </row>
    <row r="40" spans="1:18" ht="15.6" x14ac:dyDescent="0.3">
      <c r="A40" s="81">
        <v>1600</v>
      </c>
      <c r="B40" s="79">
        <v>2000</v>
      </c>
      <c r="C40" s="23">
        <v>-120</v>
      </c>
      <c r="D40" s="23">
        <v>-120</v>
      </c>
      <c r="E40" s="23">
        <v>-120</v>
      </c>
      <c r="F40" s="23">
        <v>-120</v>
      </c>
      <c r="G40" s="23">
        <v>-120</v>
      </c>
      <c r="H40" s="23">
        <v>-120</v>
      </c>
      <c r="I40" s="23">
        <v>-120</v>
      </c>
      <c r="J40" s="23">
        <v>-120</v>
      </c>
      <c r="K40" s="75"/>
      <c r="L40" s="75"/>
      <c r="M40" s="75"/>
      <c r="N40" s="75"/>
      <c r="O40" s="75"/>
      <c r="P40" s="75"/>
      <c r="Q40" s="75"/>
      <c r="R40" s="77"/>
    </row>
    <row r="41" spans="1:18" ht="16.2" thickBot="1" x14ac:dyDescent="0.35">
      <c r="A41" s="82"/>
      <c r="B41" s="80"/>
      <c r="C41" s="1">
        <f>-120-(35)</f>
        <v>-155</v>
      </c>
      <c r="D41" s="1">
        <f>-120-(46)</f>
        <v>-166</v>
      </c>
      <c r="E41" s="1">
        <f>-120-(65)</f>
        <v>-185</v>
      </c>
      <c r="F41" s="1">
        <v>-212</v>
      </c>
      <c r="G41" s="1">
        <v>-270</v>
      </c>
      <c r="H41" s="1">
        <v>-350</v>
      </c>
      <c r="I41" s="1">
        <v>-490</v>
      </c>
      <c r="J41" s="1">
        <f>-120-600</f>
        <v>-720</v>
      </c>
      <c r="K41" s="76"/>
      <c r="L41" s="76"/>
      <c r="M41" s="76"/>
      <c r="N41" s="76"/>
      <c r="O41" s="76"/>
      <c r="P41" s="76"/>
      <c r="Q41" s="76"/>
      <c r="R41" s="78"/>
    </row>
    <row r="42" spans="1:18" ht="15.6" x14ac:dyDescent="0.3">
      <c r="A42" s="81">
        <v>2000</v>
      </c>
      <c r="B42" s="79">
        <v>2500</v>
      </c>
      <c r="C42" s="23">
        <v>-130</v>
      </c>
      <c r="D42" s="23">
        <v>-130</v>
      </c>
      <c r="E42" s="23">
        <v>-130</v>
      </c>
      <c r="F42" s="23">
        <v>-130</v>
      </c>
      <c r="G42" s="23">
        <v>-130</v>
      </c>
      <c r="H42" s="23">
        <v>-130</v>
      </c>
      <c r="I42" s="23">
        <v>-130</v>
      </c>
      <c r="J42" s="23">
        <v>-130</v>
      </c>
      <c r="K42" s="75"/>
      <c r="L42" s="75"/>
      <c r="M42" s="75"/>
      <c r="N42" s="75"/>
      <c r="O42" s="75"/>
      <c r="P42" s="75"/>
      <c r="Q42" s="75"/>
      <c r="R42" s="77"/>
    </row>
    <row r="43" spans="1:18" ht="16.2" thickBot="1" x14ac:dyDescent="0.35">
      <c r="A43" s="82"/>
      <c r="B43" s="80"/>
      <c r="C43" s="1">
        <f>-130-(41)</f>
        <v>-171</v>
      </c>
      <c r="D43" s="1">
        <f>-130-(55)</f>
        <v>-185</v>
      </c>
      <c r="E43" s="1">
        <f>-130-(78)</f>
        <v>-208</v>
      </c>
      <c r="F43" s="1">
        <v>-240</v>
      </c>
      <c r="G43" s="1">
        <v>-305</v>
      </c>
      <c r="H43" s="1">
        <v>-410</v>
      </c>
      <c r="I43" s="1">
        <v>-570</v>
      </c>
      <c r="J43" s="1">
        <f>-130-700</f>
        <v>-830</v>
      </c>
      <c r="K43" s="76"/>
      <c r="L43" s="76"/>
      <c r="M43" s="76"/>
      <c r="N43" s="76"/>
      <c r="O43" s="76"/>
      <c r="P43" s="76"/>
      <c r="Q43" s="76"/>
      <c r="R43" s="78"/>
    </row>
    <row r="44" spans="1:18" ht="15.6" x14ac:dyDescent="0.3">
      <c r="A44" s="81">
        <v>2500</v>
      </c>
      <c r="B44" s="79">
        <v>3150</v>
      </c>
      <c r="C44" s="23">
        <v>-145</v>
      </c>
      <c r="D44" s="23">
        <v>-145</v>
      </c>
      <c r="E44" s="23">
        <v>-145</v>
      </c>
      <c r="F44" s="23">
        <v>-145</v>
      </c>
      <c r="G44" s="23">
        <v>-145</v>
      </c>
      <c r="H44" s="23">
        <v>-145</v>
      </c>
      <c r="I44" s="23">
        <v>-145</v>
      </c>
      <c r="J44" s="23">
        <v>-145</v>
      </c>
      <c r="K44" s="75"/>
      <c r="L44" s="75"/>
      <c r="M44" s="75"/>
      <c r="N44" s="75"/>
      <c r="O44" s="75"/>
      <c r="P44" s="75"/>
      <c r="Q44" s="75"/>
      <c r="R44" s="77"/>
    </row>
    <row r="45" spans="1:18" ht="16.2" thickBot="1" x14ac:dyDescent="0.35">
      <c r="A45" s="82"/>
      <c r="B45" s="80"/>
      <c r="C45" s="1">
        <f>-145-(50)</f>
        <v>-195</v>
      </c>
      <c r="D45" s="1">
        <f>-145-(68)</f>
        <v>-213</v>
      </c>
      <c r="E45" s="1">
        <f>-145-(96)</f>
        <v>-241</v>
      </c>
      <c r="F45" s="1">
        <v>-280</v>
      </c>
      <c r="G45" s="1">
        <v>-355</v>
      </c>
      <c r="H45" s="1">
        <v>-475</v>
      </c>
      <c r="I45" s="1">
        <v>-685</v>
      </c>
      <c r="J45" s="1">
        <f>-145-860</f>
        <v>-1005</v>
      </c>
      <c r="K45" s="76"/>
      <c r="L45" s="76"/>
      <c r="M45" s="76"/>
      <c r="N45" s="76"/>
      <c r="O45" s="76"/>
      <c r="P45" s="76"/>
      <c r="Q45" s="76"/>
      <c r="R45" s="78"/>
    </row>
    <row r="46" spans="1:18" ht="16.2" thickBot="1" x14ac:dyDescent="0.35">
      <c r="A46" s="83" t="s">
        <v>16</v>
      </c>
      <c r="B46" s="84"/>
      <c r="C46" s="84"/>
      <c r="D46" s="84"/>
      <c r="E46" s="84"/>
      <c r="F46" s="84"/>
      <c r="G46" s="84"/>
      <c r="H46" s="84"/>
      <c r="I46" s="84"/>
      <c r="J46" s="84"/>
      <c r="K46" s="84"/>
      <c r="L46" s="84"/>
      <c r="M46" s="84"/>
      <c r="N46" s="84"/>
      <c r="O46" s="84"/>
      <c r="P46" s="84"/>
      <c r="Q46" s="84"/>
      <c r="R46" s="85"/>
    </row>
    <row r="47" spans="1:18" ht="15.6" thickTop="1" x14ac:dyDescent="0.3"/>
  </sheetData>
  <mergeCells count="167">
    <mergeCell ref="C1:J2"/>
    <mergeCell ref="K1:R2"/>
    <mergeCell ref="K44:K45"/>
    <mergeCell ref="L44:L45"/>
    <mergeCell ref="M44:M45"/>
    <mergeCell ref="N44:N45"/>
    <mergeCell ref="O44:O45"/>
    <mergeCell ref="N42:N43"/>
    <mergeCell ref="O42:O43"/>
    <mergeCell ref="P42:P43"/>
    <mergeCell ref="Q42:Q43"/>
    <mergeCell ref="R42:R43"/>
    <mergeCell ref="R40:R41"/>
    <mergeCell ref="K42:K43"/>
    <mergeCell ref="L42:L43"/>
    <mergeCell ref="M42:M43"/>
    <mergeCell ref="P40:P41"/>
    <mergeCell ref="Q40:Q41"/>
    <mergeCell ref="P38:P39"/>
    <mergeCell ref="Q38:Q39"/>
    <mergeCell ref="R38:R39"/>
    <mergeCell ref="P44:P45"/>
    <mergeCell ref="Q44:Q45"/>
    <mergeCell ref="R44:R45"/>
    <mergeCell ref="A46:R46"/>
    <mergeCell ref="A44:A45"/>
    <mergeCell ref="B44:B45"/>
    <mergeCell ref="A42:A43"/>
    <mergeCell ref="B42:B43"/>
    <mergeCell ref="A40:A41"/>
    <mergeCell ref="B40:B41"/>
    <mergeCell ref="K40:K41"/>
    <mergeCell ref="K38:K39"/>
    <mergeCell ref="L38:L39"/>
    <mergeCell ref="M38:M39"/>
    <mergeCell ref="N38:N39"/>
    <mergeCell ref="O38:O39"/>
    <mergeCell ref="N36:N37"/>
    <mergeCell ref="O36:O37"/>
    <mergeCell ref="L40:L41"/>
    <mergeCell ref="M40:M41"/>
    <mergeCell ref="N40:N41"/>
    <mergeCell ref="O40:O41"/>
    <mergeCell ref="Q36:Q37"/>
    <mergeCell ref="R36:R37"/>
    <mergeCell ref="A38:A39"/>
    <mergeCell ref="B38:B39"/>
    <mergeCell ref="R34:R35"/>
    <mergeCell ref="A36:A37"/>
    <mergeCell ref="B36:B37"/>
    <mergeCell ref="K36:K37"/>
    <mergeCell ref="L36:L37"/>
    <mergeCell ref="M36:M37"/>
    <mergeCell ref="L34:L35"/>
    <mergeCell ref="M34:M35"/>
    <mergeCell ref="N34:N35"/>
    <mergeCell ref="O34:O35"/>
    <mergeCell ref="P34:P35"/>
    <mergeCell ref="Q34:Q35"/>
    <mergeCell ref="A34:A35"/>
    <mergeCell ref="B34:B35"/>
    <mergeCell ref="K34:K35"/>
    <mergeCell ref="K32:K33"/>
    <mergeCell ref="L32:L33"/>
    <mergeCell ref="M32:M33"/>
    <mergeCell ref="N32:N33"/>
    <mergeCell ref="O32:O33"/>
    <mergeCell ref="P36:P37"/>
    <mergeCell ref="N30:N31"/>
    <mergeCell ref="O30:O31"/>
    <mergeCell ref="P30:P31"/>
    <mergeCell ref="Q30:Q31"/>
    <mergeCell ref="R30:R31"/>
    <mergeCell ref="A32:A33"/>
    <mergeCell ref="B32:B33"/>
    <mergeCell ref="A30:A31"/>
    <mergeCell ref="B30:B31"/>
    <mergeCell ref="K30:K31"/>
    <mergeCell ref="L30:L31"/>
    <mergeCell ref="M30:M31"/>
    <mergeCell ref="P32:P33"/>
    <mergeCell ref="Q32:Q33"/>
    <mergeCell ref="R32:R33"/>
    <mergeCell ref="M28:M29"/>
    <mergeCell ref="N28:N29"/>
    <mergeCell ref="O28:O29"/>
    <mergeCell ref="P28:P29"/>
    <mergeCell ref="Q28:Q29"/>
    <mergeCell ref="R28:R29"/>
    <mergeCell ref="A28:A29"/>
    <mergeCell ref="B28:B29"/>
    <mergeCell ref="K28:K29"/>
    <mergeCell ref="L28:L29"/>
    <mergeCell ref="M26:M27"/>
    <mergeCell ref="N26:N27"/>
    <mergeCell ref="O26:O27"/>
    <mergeCell ref="P26:P27"/>
    <mergeCell ref="Q26:Q27"/>
    <mergeCell ref="R26:R27"/>
    <mergeCell ref="A26:A27"/>
    <mergeCell ref="B26:B27"/>
    <mergeCell ref="K26:K27"/>
    <mergeCell ref="L26:L27"/>
    <mergeCell ref="M24:M25"/>
    <mergeCell ref="N24:N25"/>
    <mergeCell ref="O24:O25"/>
    <mergeCell ref="P24:P25"/>
    <mergeCell ref="Q24:Q25"/>
    <mergeCell ref="R24:R25"/>
    <mergeCell ref="A24:A25"/>
    <mergeCell ref="B24:B25"/>
    <mergeCell ref="K24:K25"/>
    <mergeCell ref="L24:L25"/>
    <mergeCell ref="M22:M23"/>
    <mergeCell ref="N22:N23"/>
    <mergeCell ref="O22:O23"/>
    <mergeCell ref="P22:P23"/>
    <mergeCell ref="Q22:Q23"/>
    <mergeCell ref="R22:R23"/>
    <mergeCell ref="A22:A23"/>
    <mergeCell ref="B22:B23"/>
    <mergeCell ref="K22:K23"/>
    <mergeCell ref="L22:L23"/>
    <mergeCell ref="M20:M21"/>
    <mergeCell ref="N20:N21"/>
    <mergeCell ref="O20:O21"/>
    <mergeCell ref="P20:P21"/>
    <mergeCell ref="Q20:Q21"/>
    <mergeCell ref="R20:R21"/>
    <mergeCell ref="A20:A21"/>
    <mergeCell ref="B20:B21"/>
    <mergeCell ref="K20:K21"/>
    <mergeCell ref="L20:L21"/>
    <mergeCell ref="M18:M19"/>
    <mergeCell ref="N18:N19"/>
    <mergeCell ref="O18:O19"/>
    <mergeCell ref="P18:P19"/>
    <mergeCell ref="Q18:Q19"/>
    <mergeCell ref="R18:R19"/>
    <mergeCell ref="A18:A19"/>
    <mergeCell ref="B18:B19"/>
    <mergeCell ref="K18:K19"/>
    <mergeCell ref="L18:L19"/>
    <mergeCell ref="M16:M17"/>
    <mergeCell ref="N16:N17"/>
    <mergeCell ref="O16:O17"/>
    <mergeCell ref="P16:P17"/>
    <mergeCell ref="Q16:Q17"/>
    <mergeCell ref="R16:R17"/>
    <mergeCell ref="A16:A17"/>
    <mergeCell ref="B16:B17"/>
    <mergeCell ref="K16:K17"/>
    <mergeCell ref="L16:L17"/>
    <mergeCell ref="A1:B1"/>
    <mergeCell ref="A2:B2"/>
    <mergeCell ref="A14:A15"/>
    <mergeCell ref="B14:B15"/>
    <mergeCell ref="A12:A13"/>
    <mergeCell ref="B12:B13"/>
    <mergeCell ref="A10:A11"/>
    <mergeCell ref="B10:B11"/>
    <mergeCell ref="A4:A5"/>
    <mergeCell ref="B4:B5"/>
    <mergeCell ref="A6:A7"/>
    <mergeCell ref="B6:B7"/>
    <mergeCell ref="A8:A9"/>
    <mergeCell ref="B8:B9"/>
  </mergeCells>
  <phoneticPr fontId="7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103E6-AA84-46AB-AB7E-DD15804AD050}">
  <dimension ref="A1:J46"/>
  <sheetViews>
    <sheetView topLeftCell="A20" workbookViewId="0">
      <selection activeCell="L20" sqref="L20"/>
    </sheetView>
  </sheetViews>
  <sheetFormatPr defaultRowHeight="15" x14ac:dyDescent="0.3"/>
  <sheetData>
    <row r="1" spans="1:10" ht="16.2" thickTop="1" x14ac:dyDescent="0.3">
      <c r="A1" s="65" t="s">
        <v>0</v>
      </c>
      <c r="B1" s="89"/>
      <c r="C1" s="90" t="s">
        <v>17</v>
      </c>
      <c r="D1" s="52"/>
      <c r="E1" s="52"/>
      <c r="F1" s="52"/>
      <c r="G1" s="52"/>
      <c r="H1" s="52"/>
      <c r="I1" s="52"/>
      <c r="J1" s="53"/>
    </row>
    <row r="2" spans="1:10" ht="16.2" thickBot="1" x14ac:dyDescent="0.35">
      <c r="A2" s="61" t="s">
        <v>1</v>
      </c>
      <c r="B2" s="72"/>
      <c r="C2" s="91"/>
      <c r="D2" s="55"/>
      <c r="E2" s="55"/>
      <c r="F2" s="55"/>
      <c r="G2" s="55"/>
      <c r="H2" s="55"/>
      <c r="I2" s="55"/>
      <c r="J2" s="56"/>
    </row>
    <row r="3" spans="1:10" ht="16.2" thickBot="1" x14ac:dyDescent="0.35">
      <c r="A3" s="31" t="s">
        <v>3</v>
      </c>
      <c r="B3" s="32" t="s">
        <v>4</v>
      </c>
      <c r="C3" s="33">
        <v>3</v>
      </c>
      <c r="D3" s="33">
        <v>4</v>
      </c>
      <c r="E3" s="33">
        <v>5</v>
      </c>
      <c r="F3" s="33">
        <v>6</v>
      </c>
      <c r="G3" s="33">
        <v>7</v>
      </c>
      <c r="H3" s="33">
        <v>8</v>
      </c>
      <c r="I3" s="33">
        <v>9</v>
      </c>
      <c r="J3" s="34">
        <v>10</v>
      </c>
    </row>
    <row r="4" spans="1:10" ht="16.2" thickTop="1" x14ac:dyDescent="0.3">
      <c r="A4" s="92" t="s">
        <v>5</v>
      </c>
      <c r="B4" s="93">
        <v>3</v>
      </c>
      <c r="C4" s="23">
        <v>-2</v>
      </c>
      <c r="D4" s="23">
        <v>-2</v>
      </c>
      <c r="E4" s="23">
        <v>-2</v>
      </c>
      <c r="F4" s="23">
        <v>-2</v>
      </c>
      <c r="G4" s="23">
        <v>-2</v>
      </c>
      <c r="H4" s="23">
        <v>-2</v>
      </c>
      <c r="I4" s="23">
        <v>-2</v>
      </c>
      <c r="J4" s="24">
        <v>-2</v>
      </c>
    </row>
    <row r="5" spans="1:10" ht="16.2" thickBot="1" x14ac:dyDescent="0.35">
      <c r="A5" s="74"/>
      <c r="B5" s="88"/>
      <c r="C5" s="1">
        <v>-4</v>
      </c>
      <c r="D5" s="1">
        <v>-5</v>
      </c>
      <c r="E5" s="1">
        <v>-6</v>
      </c>
      <c r="F5" s="1">
        <v>-8</v>
      </c>
      <c r="G5" s="1">
        <v>-12</v>
      </c>
      <c r="H5" s="1">
        <v>-16</v>
      </c>
      <c r="I5" s="1">
        <v>-27</v>
      </c>
      <c r="J5" s="19">
        <v>-42</v>
      </c>
    </row>
    <row r="6" spans="1:10" ht="15.6" x14ac:dyDescent="0.3">
      <c r="A6" s="47">
        <v>3</v>
      </c>
      <c r="B6" s="87">
        <v>6</v>
      </c>
      <c r="C6" s="23">
        <v>-4</v>
      </c>
      <c r="D6" s="23">
        <v>-4</v>
      </c>
      <c r="E6" s="23">
        <v>-4</v>
      </c>
      <c r="F6" s="23">
        <v>-4</v>
      </c>
      <c r="G6" s="23">
        <v>-4</v>
      </c>
      <c r="H6" s="23">
        <v>-4</v>
      </c>
      <c r="I6" s="23">
        <v>-4</v>
      </c>
      <c r="J6" s="24">
        <v>-4</v>
      </c>
    </row>
    <row r="7" spans="1:10" ht="16.2" thickBot="1" x14ac:dyDescent="0.35">
      <c r="A7" s="48"/>
      <c r="B7" s="88"/>
      <c r="C7" s="1">
        <v>-6.5</v>
      </c>
      <c r="D7" s="1">
        <v>-8</v>
      </c>
      <c r="E7" s="1">
        <v>-9</v>
      </c>
      <c r="F7" s="1">
        <v>-12</v>
      </c>
      <c r="G7" s="1">
        <v>-16</v>
      </c>
      <c r="H7" s="1">
        <v>-22</v>
      </c>
      <c r="I7" s="1">
        <v>-34</v>
      </c>
      <c r="J7" s="19">
        <v>-52</v>
      </c>
    </row>
    <row r="8" spans="1:10" ht="15.6" x14ac:dyDescent="0.3">
      <c r="A8" s="47">
        <v>6</v>
      </c>
      <c r="B8" s="87">
        <v>10</v>
      </c>
      <c r="C8" s="23">
        <v>-5</v>
      </c>
      <c r="D8" s="23">
        <v>-5</v>
      </c>
      <c r="E8" s="23">
        <v>-5</v>
      </c>
      <c r="F8" s="23">
        <v>-5</v>
      </c>
      <c r="G8" s="23">
        <v>-5</v>
      </c>
      <c r="H8" s="23">
        <v>-5</v>
      </c>
      <c r="I8" s="23">
        <v>-5</v>
      </c>
      <c r="J8" s="24">
        <v>-5</v>
      </c>
    </row>
    <row r="9" spans="1:10" ht="16.2" thickBot="1" x14ac:dyDescent="0.35">
      <c r="A9" s="48"/>
      <c r="B9" s="88"/>
      <c r="C9" s="1">
        <v>-7.5</v>
      </c>
      <c r="D9" s="1">
        <v>-9</v>
      </c>
      <c r="E9" s="1">
        <v>-11</v>
      </c>
      <c r="F9" s="1">
        <v>-14</v>
      </c>
      <c r="G9" s="1">
        <v>-20</v>
      </c>
      <c r="H9" s="1">
        <v>-27</v>
      </c>
      <c r="I9" s="1">
        <v>-41</v>
      </c>
      <c r="J9" s="19">
        <v>-63</v>
      </c>
    </row>
    <row r="10" spans="1:10" ht="15.6" x14ac:dyDescent="0.3">
      <c r="A10" s="47">
        <v>10</v>
      </c>
      <c r="B10" s="87">
        <v>18</v>
      </c>
      <c r="C10" s="23">
        <v>-6</v>
      </c>
      <c r="D10" s="23">
        <v>-6</v>
      </c>
      <c r="E10" s="23">
        <v>-6</v>
      </c>
      <c r="F10" s="23">
        <v>-6</v>
      </c>
      <c r="G10" s="23">
        <v>-6</v>
      </c>
      <c r="H10" s="23">
        <v>-6</v>
      </c>
      <c r="I10" s="23">
        <v>-6</v>
      </c>
      <c r="J10" s="24">
        <v>-6</v>
      </c>
    </row>
    <row r="11" spans="1:10" ht="16.2" thickBot="1" x14ac:dyDescent="0.35">
      <c r="A11" s="48"/>
      <c r="B11" s="88"/>
      <c r="C11" s="1">
        <v>-9</v>
      </c>
      <c r="D11" s="1">
        <v>-11</v>
      </c>
      <c r="E11" s="1">
        <v>-14</v>
      </c>
      <c r="F11" s="1">
        <v>-17</v>
      </c>
      <c r="G11" s="1">
        <v>-24</v>
      </c>
      <c r="H11" s="1">
        <v>-33</v>
      </c>
      <c r="I11" s="1">
        <v>-49</v>
      </c>
      <c r="J11" s="19">
        <v>-76</v>
      </c>
    </row>
    <row r="12" spans="1:10" ht="15.6" x14ac:dyDescent="0.3">
      <c r="A12" s="47">
        <v>18</v>
      </c>
      <c r="B12" s="87">
        <v>30</v>
      </c>
      <c r="C12" s="23">
        <v>-7</v>
      </c>
      <c r="D12" s="23">
        <v>-7</v>
      </c>
      <c r="E12" s="23">
        <v>-7</v>
      </c>
      <c r="F12" s="23">
        <v>-7</v>
      </c>
      <c r="G12" s="23">
        <v>-7</v>
      </c>
      <c r="H12" s="23">
        <v>-7</v>
      </c>
      <c r="I12" s="23">
        <v>-7</v>
      </c>
      <c r="J12" s="24">
        <v>-7</v>
      </c>
    </row>
    <row r="13" spans="1:10" ht="16.2" thickBot="1" x14ac:dyDescent="0.35">
      <c r="A13" s="48"/>
      <c r="B13" s="88"/>
      <c r="C13" s="1">
        <v>-11</v>
      </c>
      <c r="D13" s="1">
        <v>-13</v>
      </c>
      <c r="E13" s="1">
        <v>-16</v>
      </c>
      <c r="F13" s="1">
        <v>-20</v>
      </c>
      <c r="G13" s="1">
        <v>-28</v>
      </c>
      <c r="H13" s="1">
        <v>-40</v>
      </c>
      <c r="I13" s="1">
        <v>-59</v>
      </c>
      <c r="J13" s="19">
        <v>-91</v>
      </c>
    </row>
    <row r="14" spans="1:10" ht="15.6" x14ac:dyDescent="0.3">
      <c r="A14" s="47">
        <v>30</v>
      </c>
      <c r="B14" s="87">
        <v>50</v>
      </c>
      <c r="C14" s="23">
        <v>-9</v>
      </c>
      <c r="D14" s="23">
        <v>-9</v>
      </c>
      <c r="E14" s="23">
        <v>-9</v>
      </c>
      <c r="F14" s="23">
        <v>-9</v>
      </c>
      <c r="G14" s="23">
        <v>-9</v>
      </c>
      <c r="H14" s="23">
        <v>-9</v>
      </c>
      <c r="I14" s="23">
        <v>-9</v>
      </c>
      <c r="J14" s="24">
        <v>-9</v>
      </c>
    </row>
    <row r="15" spans="1:10" ht="16.2" thickBot="1" x14ac:dyDescent="0.35">
      <c r="A15" s="48"/>
      <c r="B15" s="88"/>
      <c r="C15" s="1">
        <v>-13</v>
      </c>
      <c r="D15" s="1">
        <v>-16</v>
      </c>
      <c r="E15" s="1">
        <v>-20</v>
      </c>
      <c r="F15" s="1">
        <v>-25</v>
      </c>
      <c r="G15" s="1">
        <v>-34</v>
      </c>
      <c r="H15" s="1">
        <v>-48</v>
      </c>
      <c r="I15" s="1">
        <v>-71</v>
      </c>
      <c r="J15" s="19">
        <v>-109</v>
      </c>
    </row>
    <row r="16" spans="1:10" ht="15.6" x14ac:dyDescent="0.3">
      <c r="A16" s="47">
        <v>50</v>
      </c>
      <c r="B16" s="87">
        <v>80</v>
      </c>
      <c r="C16" s="23">
        <v>-10</v>
      </c>
      <c r="D16" s="23">
        <v>-10</v>
      </c>
      <c r="E16" s="23">
        <v>-10</v>
      </c>
      <c r="F16" s="23">
        <v>-10</v>
      </c>
      <c r="G16" s="23">
        <v>-10</v>
      </c>
      <c r="H16" s="23">
        <v>-10</v>
      </c>
      <c r="I16" s="23">
        <v>-10</v>
      </c>
      <c r="J16" s="24">
        <v>-10</v>
      </c>
    </row>
    <row r="17" spans="1:10" ht="16.2" thickBot="1" x14ac:dyDescent="0.35">
      <c r="A17" s="48"/>
      <c r="B17" s="88"/>
      <c r="C17" s="1">
        <f>-10-(5)</f>
        <v>-15</v>
      </c>
      <c r="D17" s="1">
        <f>-10-(8)</f>
        <v>-18</v>
      </c>
      <c r="E17" s="1">
        <f>-10-(13)</f>
        <v>-23</v>
      </c>
      <c r="F17" s="1">
        <f>-10-(19)</f>
        <v>-29</v>
      </c>
      <c r="G17" s="1">
        <f>-10-(30)</f>
        <v>-40</v>
      </c>
      <c r="H17" s="1">
        <f>-10-(46)</f>
        <v>-56</v>
      </c>
      <c r="I17" s="1">
        <f>-10-(74)</f>
        <v>-84</v>
      </c>
      <c r="J17" s="19">
        <f>-10-(120)</f>
        <v>-130</v>
      </c>
    </row>
    <row r="18" spans="1:10" ht="15.6" x14ac:dyDescent="0.3">
      <c r="A18" s="47">
        <v>80</v>
      </c>
      <c r="B18" s="87">
        <v>120</v>
      </c>
      <c r="C18" s="23">
        <v>-12</v>
      </c>
      <c r="D18" s="23">
        <v>-12</v>
      </c>
      <c r="E18" s="23">
        <v>-12</v>
      </c>
      <c r="F18" s="23">
        <v>-12</v>
      </c>
      <c r="G18" s="23">
        <v>-12</v>
      </c>
      <c r="H18" s="23">
        <v>-12</v>
      </c>
      <c r="I18" s="23">
        <v>-12</v>
      </c>
      <c r="J18" s="24">
        <v>-12</v>
      </c>
    </row>
    <row r="19" spans="1:10" ht="16.2" thickBot="1" x14ac:dyDescent="0.35">
      <c r="A19" s="48"/>
      <c r="B19" s="88"/>
      <c r="C19" s="1">
        <f>-12-(6)</f>
        <v>-18</v>
      </c>
      <c r="D19" s="1">
        <f>-12-(10)</f>
        <v>-22</v>
      </c>
      <c r="E19" s="1">
        <f>-12-(15)</f>
        <v>-27</v>
      </c>
      <c r="F19" s="1">
        <f>-12-(22)</f>
        <v>-34</v>
      </c>
      <c r="G19" s="1">
        <f>-12-(35)</f>
        <v>-47</v>
      </c>
      <c r="H19" s="1">
        <f>-12-(54)</f>
        <v>-66</v>
      </c>
      <c r="I19" s="1">
        <f>-12-(87)</f>
        <v>-99</v>
      </c>
      <c r="J19" s="19">
        <f>-12-(140)</f>
        <v>-152</v>
      </c>
    </row>
    <row r="20" spans="1:10" ht="15.6" x14ac:dyDescent="0.3">
      <c r="A20" s="47">
        <v>120</v>
      </c>
      <c r="B20" s="87">
        <v>180</v>
      </c>
      <c r="C20" s="23">
        <v>-14</v>
      </c>
      <c r="D20" s="23">
        <v>-14</v>
      </c>
      <c r="E20" s="23">
        <v>-14</v>
      </c>
      <c r="F20" s="23">
        <v>-14</v>
      </c>
      <c r="G20" s="23">
        <v>-14</v>
      </c>
      <c r="H20" s="23">
        <v>-14</v>
      </c>
      <c r="I20" s="23">
        <v>-14</v>
      </c>
      <c r="J20" s="24">
        <v>-14</v>
      </c>
    </row>
    <row r="21" spans="1:10" ht="16.2" thickBot="1" x14ac:dyDescent="0.35">
      <c r="A21" s="48"/>
      <c r="B21" s="88"/>
      <c r="C21" s="1">
        <f>-14-(8)</f>
        <v>-22</v>
      </c>
      <c r="D21" s="1">
        <f>-14-(12)</f>
        <v>-26</v>
      </c>
      <c r="E21" s="1">
        <f>-14-(18)</f>
        <v>-32</v>
      </c>
      <c r="F21" s="1">
        <f>-14-(25)</f>
        <v>-39</v>
      </c>
      <c r="G21" s="1">
        <f>-14-(40)</f>
        <v>-54</v>
      </c>
      <c r="H21" s="1">
        <f>-14-(63)</f>
        <v>-77</v>
      </c>
      <c r="I21" s="1">
        <f>-14-(100)</f>
        <v>-114</v>
      </c>
      <c r="J21" s="19">
        <f>-14-(160)</f>
        <v>-174</v>
      </c>
    </row>
    <row r="22" spans="1:10" ht="15.6" x14ac:dyDescent="0.3">
      <c r="A22" s="47">
        <v>180</v>
      </c>
      <c r="B22" s="87">
        <v>250</v>
      </c>
      <c r="C22" s="23">
        <v>-15</v>
      </c>
      <c r="D22" s="23">
        <v>-15</v>
      </c>
      <c r="E22" s="23">
        <v>-15</v>
      </c>
      <c r="F22" s="23">
        <v>-15</v>
      </c>
      <c r="G22" s="23">
        <v>-15</v>
      </c>
      <c r="H22" s="23">
        <v>-15</v>
      </c>
      <c r="I22" s="23">
        <v>-15</v>
      </c>
      <c r="J22" s="24">
        <v>-15</v>
      </c>
    </row>
    <row r="23" spans="1:10" ht="16.2" thickBot="1" x14ac:dyDescent="0.35">
      <c r="A23" s="48"/>
      <c r="B23" s="88"/>
      <c r="C23" s="1">
        <f>-15-(10)</f>
        <v>-25</v>
      </c>
      <c r="D23" s="1">
        <f>-15-(14)</f>
        <v>-29</v>
      </c>
      <c r="E23" s="1">
        <f>-15-(20)</f>
        <v>-35</v>
      </c>
      <c r="F23" s="1">
        <f>-15-(29)</f>
        <v>-44</v>
      </c>
      <c r="G23" s="1">
        <f>-15-(46)</f>
        <v>-61</v>
      </c>
      <c r="H23" s="1">
        <f>-15-(72)</f>
        <v>-87</v>
      </c>
      <c r="I23" s="1">
        <f>-15-(115)</f>
        <v>-130</v>
      </c>
      <c r="J23" s="19">
        <f>-15-(185)</f>
        <v>-200</v>
      </c>
    </row>
    <row r="24" spans="1:10" ht="15.6" x14ac:dyDescent="0.3">
      <c r="A24" s="47">
        <v>250</v>
      </c>
      <c r="B24" s="87">
        <v>315</v>
      </c>
      <c r="C24" s="23">
        <v>-17</v>
      </c>
      <c r="D24" s="23">
        <v>-17</v>
      </c>
      <c r="E24" s="23">
        <v>-17</v>
      </c>
      <c r="F24" s="23">
        <v>-17</v>
      </c>
      <c r="G24" s="23">
        <v>-17</v>
      </c>
      <c r="H24" s="23">
        <v>-17</v>
      </c>
      <c r="I24" s="23">
        <v>-17</v>
      </c>
      <c r="J24" s="24">
        <v>-17</v>
      </c>
    </row>
    <row r="25" spans="1:10" ht="16.2" thickBot="1" x14ac:dyDescent="0.35">
      <c r="A25" s="48"/>
      <c r="B25" s="88"/>
      <c r="C25" s="1">
        <f>-17-(12)</f>
        <v>-29</v>
      </c>
      <c r="D25" s="1">
        <f>-17-(16)</f>
        <v>-33</v>
      </c>
      <c r="E25" s="1">
        <f>-17-(23)</f>
        <v>-40</v>
      </c>
      <c r="F25" s="1">
        <f>-17-(32)</f>
        <v>-49</v>
      </c>
      <c r="G25" s="1">
        <f>-17-(52)</f>
        <v>-69</v>
      </c>
      <c r="H25" s="1">
        <f>-17-(81)</f>
        <v>-98</v>
      </c>
      <c r="I25" s="1">
        <f>-17-(130)</f>
        <v>-147</v>
      </c>
      <c r="J25" s="19">
        <f>-17-(210)</f>
        <v>-227</v>
      </c>
    </row>
    <row r="26" spans="1:10" ht="15.6" x14ac:dyDescent="0.3">
      <c r="A26" s="47">
        <v>315</v>
      </c>
      <c r="B26" s="87">
        <v>400</v>
      </c>
      <c r="C26" s="23">
        <v>-18</v>
      </c>
      <c r="D26" s="23">
        <v>-18</v>
      </c>
      <c r="E26" s="23">
        <v>-18</v>
      </c>
      <c r="F26" s="23">
        <v>-18</v>
      </c>
      <c r="G26" s="23">
        <v>-18</v>
      </c>
      <c r="H26" s="23">
        <v>-18</v>
      </c>
      <c r="I26" s="23">
        <v>-18</v>
      </c>
      <c r="J26" s="24">
        <v>-18</v>
      </c>
    </row>
    <row r="27" spans="1:10" ht="16.2" thickBot="1" x14ac:dyDescent="0.35">
      <c r="A27" s="48"/>
      <c r="B27" s="88"/>
      <c r="C27" s="1">
        <f>-18-(13)</f>
        <v>-31</v>
      </c>
      <c r="D27" s="1">
        <f>-18-(18)</f>
        <v>-36</v>
      </c>
      <c r="E27" s="1">
        <f>-18-(25)</f>
        <v>-43</v>
      </c>
      <c r="F27" s="1">
        <f>-18-(36)</f>
        <v>-54</v>
      </c>
      <c r="G27" s="1">
        <f>-18-(57)</f>
        <v>-75</v>
      </c>
      <c r="H27" s="1">
        <f>-18-(89)</f>
        <v>-107</v>
      </c>
      <c r="I27" s="1">
        <f>-18-(140)</f>
        <v>-158</v>
      </c>
      <c r="J27" s="19">
        <f>-18-(230)</f>
        <v>-248</v>
      </c>
    </row>
    <row r="28" spans="1:10" ht="15.6" x14ac:dyDescent="0.3">
      <c r="A28" s="47">
        <v>400</v>
      </c>
      <c r="B28" s="87">
        <v>500</v>
      </c>
      <c r="C28" s="23">
        <v>-20</v>
      </c>
      <c r="D28" s="23">
        <v>-20</v>
      </c>
      <c r="E28" s="23">
        <v>-20</v>
      </c>
      <c r="F28" s="23">
        <v>-20</v>
      </c>
      <c r="G28" s="23">
        <v>-20</v>
      </c>
      <c r="H28" s="23">
        <v>-20</v>
      </c>
      <c r="I28" s="23">
        <v>-20</v>
      </c>
      <c r="J28" s="24">
        <v>-20</v>
      </c>
    </row>
    <row r="29" spans="1:10" ht="16.2" thickBot="1" x14ac:dyDescent="0.35">
      <c r="A29" s="48"/>
      <c r="B29" s="88"/>
      <c r="C29" s="1">
        <f>-20-(15)</f>
        <v>-35</v>
      </c>
      <c r="D29" s="1">
        <f>-20-(20)</f>
        <v>-40</v>
      </c>
      <c r="E29" s="1">
        <f>-20-(27)</f>
        <v>-47</v>
      </c>
      <c r="F29" s="1">
        <f>-20-(40)</f>
        <v>-60</v>
      </c>
      <c r="G29" s="1">
        <f>-20-(63)</f>
        <v>-83</v>
      </c>
      <c r="H29" s="1">
        <f>-20-(97)</f>
        <v>-117</v>
      </c>
      <c r="I29" s="1">
        <f>-20-(155)</f>
        <v>-175</v>
      </c>
      <c r="J29" s="19">
        <f>-20-(250)</f>
        <v>-270</v>
      </c>
    </row>
    <row r="30" spans="1:10" ht="15.6" x14ac:dyDescent="0.3">
      <c r="A30" s="47">
        <v>500</v>
      </c>
      <c r="B30" s="87">
        <v>630</v>
      </c>
      <c r="C30" s="23">
        <v>-22</v>
      </c>
      <c r="D30" s="23">
        <v>-22</v>
      </c>
      <c r="E30" s="23">
        <v>-22</v>
      </c>
      <c r="F30" s="23">
        <v>-22</v>
      </c>
      <c r="G30" s="23">
        <v>-22</v>
      </c>
      <c r="H30" s="23">
        <v>-22</v>
      </c>
      <c r="I30" s="23">
        <v>-22</v>
      </c>
      <c r="J30" s="24">
        <v>-22</v>
      </c>
    </row>
    <row r="31" spans="1:10" ht="16.2" thickBot="1" x14ac:dyDescent="0.35">
      <c r="A31" s="48"/>
      <c r="B31" s="88"/>
      <c r="C31" s="1">
        <f>-22-(16)</f>
        <v>-38</v>
      </c>
      <c r="D31" s="1">
        <f>-22-(22)</f>
        <v>-44</v>
      </c>
      <c r="E31" s="1">
        <f>-22-(32)</f>
        <v>-54</v>
      </c>
      <c r="F31" s="1">
        <f>-22-(44)</f>
        <v>-66</v>
      </c>
      <c r="G31" s="1">
        <f>-22-(70)</f>
        <v>-92</v>
      </c>
      <c r="H31" s="1">
        <f>-22-(110)</f>
        <v>-132</v>
      </c>
      <c r="I31" s="1">
        <f>-22-(175)</f>
        <v>-197</v>
      </c>
      <c r="J31" s="19">
        <f>-22-(280)</f>
        <v>-302</v>
      </c>
    </row>
    <row r="32" spans="1:10" ht="15.6" x14ac:dyDescent="0.3">
      <c r="A32" s="47">
        <v>630</v>
      </c>
      <c r="B32" s="87">
        <v>800</v>
      </c>
      <c r="C32" s="23">
        <v>-24</v>
      </c>
      <c r="D32" s="23">
        <v>-24</v>
      </c>
      <c r="E32" s="23">
        <v>-24</v>
      </c>
      <c r="F32" s="23">
        <v>-24</v>
      </c>
      <c r="G32" s="23">
        <v>-24</v>
      </c>
      <c r="H32" s="23">
        <v>-24</v>
      </c>
      <c r="I32" s="23">
        <v>-24</v>
      </c>
      <c r="J32" s="24">
        <v>-24</v>
      </c>
    </row>
    <row r="33" spans="1:10" ht="16.2" thickBot="1" x14ac:dyDescent="0.35">
      <c r="A33" s="48"/>
      <c r="B33" s="88"/>
      <c r="C33" s="1">
        <f>-24-(18)</f>
        <v>-42</v>
      </c>
      <c r="D33" s="1">
        <f>-24-(25)</f>
        <v>-49</v>
      </c>
      <c r="E33" s="1">
        <f>-24-(36)</f>
        <v>-60</v>
      </c>
      <c r="F33" s="1">
        <f>-24-(50)</f>
        <v>-74</v>
      </c>
      <c r="G33" s="1">
        <f>-24-(80)</f>
        <v>-104</v>
      </c>
      <c r="H33" s="1">
        <f>-24-(125)</f>
        <v>-149</v>
      </c>
      <c r="I33" s="1">
        <f>-24-(200)</f>
        <v>-224</v>
      </c>
      <c r="J33" s="19">
        <f>-24-(320)</f>
        <v>-344</v>
      </c>
    </row>
    <row r="34" spans="1:10" ht="15.6" x14ac:dyDescent="0.3">
      <c r="A34" s="47">
        <v>800</v>
      </c>
      <c r="B34" s="94">
        <v>1000</v>
      </c>
      <c r="C34" s="23">
        <v>-26</v>
      </c>
      <c r="D34" s="23">
        <v>-26</v>
      </c>
      <c r="E34" s="23">
        <v>-26</v>
      </c>
      <c r="F34" s="23">
        <v>-26</v>
      </c>
      <c r="G34" s="23">
        <v>-26</v>
      </c>
      <c r="H34" s="23">
        <v>-26</v>
      </c>
      <c r="I34" s="23">
        <v>-26</v>
      </c>
      <c r="J34" s="24">
        <v>-26</v>
      </c>
    </row>
    <row r="35" spans="1:10" ht="16.2" thickBot="1" x14ac:dyDescent="0.35">
      <c r="A35" s="48"/>
      <c r="B35" s="95"/>
      <c r="C35" s="1">
        <f>-26-(21)</f>
        <v>-47</v>
      </c>
      <c r="D35" s="1">
        <f>-26-(28)</f>
        <v>-54</v>
      </c>
      <c r="E35" s="1">
        <f>-26-(40)</f>
        <v>-66</v>
      </c>
      <c r="F35" s="1">
        <f>-26-(56)</f>
        <v>-82</v>
      </c>
      <c r="G35" s="1">
        <f>-26-(90)</f>
        <v>-116</v>
      </c>
      <c r="H35" s="1">
        <f>-26-(140)</f>
        <v>-166</v>
      </c>
      <c r="I35" s="1">
        <f>-26-(230)</f>
        <v>-256</v>
      </c>
      <c r="J35" s="19">
        <f>-26-(360)</f>
        <v>-386</v>
      </c>
    </row>
    <row r="36" spans="1:10" ht="15.6" x14ac:dyDescent="0.3">
      <c r="A36" s="81">
        <v>1000</v>
      </c>
      <c r="B36" s="94">
        <v>1250</v>
      </c>
      <c r="C36" s="23">
        <v>-28</v>
      </c>
      <c r="D36" s="23">
        <v>-28</v>
      </c>
      <c r="E36" s="23">
        <v>-28</v>
      </c>
      <c r="F36" s="23">
        <v>-28</v>
      </c>
      <c r="G36" s="23">
        <v>-28</v>
      </c>
      <c r="H36" s="23">
        <v>-28</v>
      </c>
      <c r="I36" s="23">
        <v>-28</v>
      </c>
      <c r="J36" s="24">
        <v>-28</v>
      </c>
    </row>
    <row r="37" spans="1:10" ht="16.2" thickBot="1" x14ac:dyDescent="0.35">
      <c r="A37" s="82"/>
      <c r="B37" s="95"/>
      <c r="C37" s="1">
        <f>-28-(24)</f>
        <v>-52</v>
      </c>
      <c r="D37" s="1">
        <f>-28-(33)</f>
        <v>-61</v>
      </c>
      <c r="E37" s="1">
        <f>-28-(47)</f>
        <v>-75</v>
      </c>
      <c r="F37" s="1">
        <f>-28-(66)</f>
        <v>-94</v>
      </c>
      <c r="G37" s="1">
        <f>-28-(105)</f>
        <v>-133</v>
      </c>
      <c r="H37" s="1">
        <f>-28-(165)</f>
        <v>-193</v>
      </c>
      <c r="I37" s="1">
        <f>-28-(260)</f>
        <v>-288</v>
      </c>
      <c r="J37" s="19">
        <f>-28-(420)</f>
        <v>-448</v>
      </c>
    </row>
    <row r="38" spans="1:10" ht="15.6" x14ac:dyDescent="0.3">
      <c r="A38" s="81">
        <v>1250</v>
      </c>
      <c r="B38" s="94">
        <v>1600</v>
      </c>
      <c r="C38" s="23">
        <v>-30</v>
      </c>
      <c r="D38" s="23">
        <v>-30</v>
      </c>
      <c r="E38" s="23">
        <v>-30</v>
      </c>
      <c r="F38" s="23">
        <v>-30</v>
      </c>
      <c r="G38" s="23">
        <v>-30</v>
      </c>
      <c r="H38" s="23">
        <v>-30</v>
      </c>
      <c r="I38" s="23">
        <v>-30</v>
      </c>
      <c r="J38" s="24">
        <v>-30</v>
      </c>
    </row>
    <row r="39" spans="1:10" ht="16.2" thickBot="1" x14ac:dyDescent="0.35">
      <c r="A39" s="82"/>
      <c r="B39" s="95"/>
      <c r="C39" s="1">
        <f>-30-(29)</f>
        <v>-59</v>
      </c>
      <c r="D39" s="1">
        <f>-30-(39)</f>
        <v>-69</v>
      </c>
      <c r="E39" s="1">
        <f>-30-(55)</f>
        <v>-85</v>
      </c>
      <c r="F39" s="1">
        <f>-30-(78)</f>
        <v>-108</v>
      </c>
      <c r="G39" s="1">
        <f>-30-(125)</f>
        <v>-155</v>
      </c>
      <c r="H39" s="1">
        <f>-30-(195)</f>
        <v>-225</v>
      </c>
      <c r="I39" s="1">
        <f>-30-(310)</f>
        <v>-340</v>
      </c>
      <c r="J39" s="19">
        <f>-30-(500)</f>
        <v>-530</v>
      </c>
    </row>
    <row r="40" spans="1:10" ht="15.6" x14ac:dyDescent="0.3">
      <c r="A40" s="81">
        <v>1600</v>
      </c>
      <c r="B40" s="94">
        <v>2000</v>
      </c>
      <c r="C40" s="23">
        <v>-32</v>
      </c>
      <c r="D40" s="23">
        <v>-32</v>
      </c>
      <c r="E40" s="23">
        <v>-32</v>
      </c>
      <c r="F40" s="23">
        <v>-32</v>
      </c>
      <c r="G40" s="23">
        <v>-32</v>
      </c>
      <c r="H40" s="23">
        <v>-32</v>
      </c>
      <c r="I40" s="23">
        <v>-32</v>
      </c>
      <c r="J40" s="24">
        <v>-32</v>
      </c>
    </row>
    <row r="41" spans="1:10" ht="16.2" thickBot="1" x14ac:dyDescent="0.35">
      <c r="A41" s="82"/>
      <c r="B41" s="95"/>
      <c r="C41" s="1">
        <f>-32-(35)</f>
        <v>-67</v>
      </c>
      <c r="D41" s="1">
        <f>-32-(46)</f>
        <v>-78</v>
      </c>
      <c r="E41" s="1">
        <f>-32-(65)</f>
        <v>-97</v>
      </c>
      <c r="F41" s="1">
        <f>-32-(92)</f>
        <v>-124</v>
      </c>
      <c r="G41" s="1">
        <f>-32-(150)</f>
        <v>-182</v>
      </c>
      <c r="H41" s="1">
        <f>-32-(230)</f>
        <v>-262</v>
      </c>
      <c r="I41" s="1">
        <f>-32-(370)</f>
        <v>-402</v>
      </c>
      <c r="J41" s="19">
        <f>-32-(600)</f>
        <v>-632</v>
      </c>
    </row>
    <row r="42" spans="1:10" ht="15.6" x14ac:dyDescent="0.3">
      <c r="A42" s="81">
        <v>2000</v>
      </c>
      <c r="B42" s="94">
        <v>2500</v>
      </c>
      <c r="C42" s="23">
        <v>-34</v>
      </c>
      <c r="D42" s="23">
        <v>-34</v>
      </c>
      <c r="E42" s="23">
        <v>-34</v>
      </c>
      <c r="F42" s="23">
        <v>-34</v>
      </c>
      <c r="G42" s="23">
        <v>-34</v>
      </c>
      <c r="H42" s="23">
        <v>-34</v>
      </c>
      <c r="I42" s="23">
        <v>-34</v>
      </c>
      <c r="J42" s="24">
        <v>-34</v>
      </c>
    </row>
    <row r="43" spans="1:10" ht="16.2" thickBot="1" x14ac:dyDescent="0.35">
      <c r="A43" s="82"/>
      <c r="B43" s="95"/>
      <c r="C43" s="1">
        <f>-34-(41)</f>
        <v>-75</v>
      </c>
      <c r="D43" s="1">
        <f>-34-(55)</f>
        <v>-89</v>
      </c>
      <c r="E43" s="1">
        <f>-34-(78)</f>
        <v>-112</v>
      </c>
      <c r="F43" s="1">
        <f>-34-(110)</f>
        <v>-144</v>
      </c>
      <c r="G43" s="1">
        <f>-34-(175)</f>
        <v>-209</v>
      </c>
      <c r="H43" s="1">
        <f>-34-(280)</f>
        <v>-314</v>
      </c>
      <c r="I43" s="1">
        <f>-34-(440)</f>
        <v>-474</v>
      </c>
      <c r="J43" s="19">
        <f>-34-(700)</f>
        <v>-734</v>
      </c>
    </row>
    <row r="44" spans="1:10" ht="15.6" x14ac:dyDescent="0.3">
      <c r="A44" s="81">
        <v>2500</v>
      </c>
      <c r="B44" s="94">
        <v>3150</v>
      </c>
      <c r="C44" s="23">
        <v>-38</v>
      </c>
      <c r="D44" s="23">
        <v>-38</v>
      </c>
      <c r="E44" s="23">
        <v>-38</v>
      </c>
      <c r="F44" s="23">
        <v>-38</v>
      </c>
      <c r="G44" s="23">
        <v>-38</v>
      </c>
      <c r="H44" s="23">
        <v>-38</v>
      </c>
      <c r="I44" s="23">
        <v>-38</v>
      </c>
      <c r="J44" s="24">
        <v>-38</v>
      </c>
    </row>
    <row r="45" spans="1:10" ht="16.2" thickBot="1" x14ac:dyDescent="0.35">
      <c r="A45" s="96"/>
      <c r="B45" s="97"/>
      <c r="C45" s="1">
        <f>-38-(50)</f>
        <v>-88</v>
      </c>
      <c r="D45" s="1">
        <f>-38-(68)</f>
        <v>-106</v>
      </c>
      <c r="E45" s="1">
        <f>-38-(96)</f>
        <v>-134</v>
      </c>
      <c r="F45" s="1">
        <f>-38-(135)</f>
        <v>-173</v>
      </c>
      <c r="G45" s="1">
        <f>-38-(210)</f>
        <v>-248</v>
      </c>
      <c r="H45" s="1">
        <f>-38-(330)</f>
        <v>-368</v>
      </c>
      <c r="I45" s="1">
        <f>-38-(540)</f>
        <v>-578</v>
      </c>
      <c r="J45" s="19">
        <f>-38-(860)</f>
        <v>-898</v>
      </c>
    </row>
    <row r="46" spans="1:10" ht="15.6" thickTop="1" x14ac:dyDescent="0.3"/>
  </sheetData>
  <mergeCells count="45">
    <mergeCell ref="A44:A45"/>
    <mergeCell ref="B44:B45"/>
    <mergeCell ref="A42:A43"/>
    <mergeCell ref="B42:B43"/>
    <mergeCell ref="A40:A41"/>
    <mergeCell ref="B40:B41"/>
    <mergeCell ref="A38:A39"/>
    <mergeCell ref="B38:B39"/>
    <mergeCell ref="A36:A37"/>
    <mergeCell ref="B36:B37"/>
    <mergeCell ref="A34:A35"/>
    <mergeCell ref="B34:B35"/>
    <mergeCell ref="A32:A33"/>
    <mergeCell ref="B32:B33"/>
    <mergeCell ref="A30:A31"/>
    <mergeCell ref="B30:B31"/>
    <mergeCell ref="A28:A29"/>
    <mergeCell ref="B28:B29"/>
    <mergeCell ref="A24:A25"/>
    <mergeCell ref="B24:B25"/>
    <mergeCell ref="A26:A27"/>
    <mergeCell ref="B26:B27"/>
    <mergeCell ref="A20:A21"/>
    <mergeCell ref="B20:B21"/>
    <mergeCell ref="A22:A23"/>
    <mergeCell ref="B22:B23"/>
    <mergeCell ref="A18:A19"/>
    <mergeCell ref="B18:B19"/>
    <mergeCell ref="A14:A15"/>
    <mergeCell ref="B14:B15"/>
    <mergeCell ref="A16:A17"/>
    <mergeCell ref="B16:B17"/>
    <mergeCell ref="A8:A9"/>
    <mergeCell ref="B8:B9"/>
    <mergeCell ref="A10:A11"/>
    <mergeCell ref="B10:B11"/>
    <mergeCell ref="A12:A13"/>
    <mergeCell ref="B12:B13"/>
    <mergeCell ref="A6:A7"/>
    <mergeCell ref="B6:B7"/>
    <mergeCell ref="A1:B1"/>
    <mergeCell ref="A2:B2"/>
    <mergeCell ref="C1:J2"/>
    <mergeCell ref="A4:A5"/>
    <mergeCell ref="B4:B5"/>
  </mergeCells>
  <phoneticPr fontId="7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07BAE-3A1C-4552-843D-64376F69AE0E}">
  <dimension ref="A1:T48"/>
  <sheetViews>
    <sheetView topLeftCell="A14" workbookViewId="0">
      <selection activeCell="A47" sqref="A47:T47"/>
    </sheetView>
  </sheetViews>
  <sheetFormatPr defaultRowHeight="15" x14ac:dyDescent="0.3"/>
  <sheetData>
    <row r="1" spans="1:20" ht="16.8" thickTop="1" thickBot="1" x14ac:dyDescent="0.35">
      <c r="A1" s="65" t="s">
        <v>0</v>
      </c>
      <c r="B1" s="66"/>
      <c r="C1" s="98" t="s">
        <v>18</v>
      </c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100"/>
    </row>
    <row r="2" spans="1:20" ht="16.2" thickBot="1" x14ac:dyDescent="0.35">
      <c r="A2" s="61" t="s">
        <v>1</v>
      </c>
      <c r="B2" s="62"/>
      <c r="C2" s="2">
        <v>1</v>
      </c>
      <c r="D2" s="2">
        <v>2</v>
      </c>
      <c r="E2" s="2">
        <v>3</v>
      </c>
      <c r="F2" s="2">
        <v>4</v>
      </c>
      <c r="G2" s="2">
        <v>5</v>
      </c>
      <c r="H2" s="2">
        <v>6</v>
      </c>
      <c r="I2" s="2">
        <v>7</v>
      </c>
      <c r="J2" s="2">
        <v>8</v>
      </c>
      <c r="K2" s="2">
        <v>9</v>
      </c>
      <c r="L2" s="2">
        <v>10</v>
      </c>
      <c r="M2" s="2">
        <v>11</v>
      </c>
      <c r="N2" s="2">
        <v>12</v>
      </c>
      <c r="O2" s="2">
        <v>13</v>
      </c>
      <c r="P2" s="2">
        <v>14</v>
      </c>
      <c r="Q2" s="2">
        <v>15</v>
      </c>
      <c r="R2" s="2">
        <v>16</v>
      </c>
      <c r="S2" s="2">
        <v>17</v>
      </c>
      <c r="T2" s="3">
        <v>18</v>
      </c>
    </row>
    <row r="3" spans="1:20" ht="15.6" x14ac:dyDescent="0.3">
      <c r="A3" s="73" t="s">
        <v>3</v>
      </c>
      <c r="B3" s="101" t="s">
        <v>4</v>
      </c>
      <c r="C3" s="103" t="s">
        <v>19</v>
      </c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  <c r="P3" s="104"/>
      <c r="Q3" s="104"/>
      <c r="R3" s="104"/>
      <c r="S3" s="104"/>
      <c r="T3" s="105"/>
    </row>
    <row r="4" spans="1:20" ht="16.2" thickBot="1" x14ac:dyDescent="0.35">
      <c r="A4" s="74"/>
      <c r="B4" s="102"/>
      <c r="C4" s="70" t="s">
        <v>20</v>
      </c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2"/>
    </row>
    <row r="5" spans="1:20" ht="15.6" x14ac:dyDescent="0.3">
      <c r="A5" s="73" t="s">
        <v>5</v>
      </c>
      <c r="B5" s="36"/>
      <c r="C5" s="23">
        <v>0</v>
      </c>
      <c r="D5" s="23">
        <v>0</v>
      </c>
      <c r="E5" s="23">
        <v>0</v>
      </c>
      <c r="F5" s="23">
        <v>0</v>
      </c>
      <c r="G5" s="23">
        <v>0</v>
      </c>
      <c r="H5" s="23">
        <v>0</v>
      </c>
      <c r="I5" s="23">
        <v>0</v>
      </c>
      <c r="J5" s="23">
        <v>0</v>
      </c>
      <c r="K5" s="23">
        <v>0</v>
      </c>
      <c r="L5" s="23">
        <v>0</v>
      </c>
      <c r="M5" s="23">
        <v>0</v>
      </c>
      <c r="N5" s="23">
        <f t="shared" ref="N5:T5" si="0">0*(1000)</f>
        <v>0</v>
      </c>
      <c r="O5" s="23">
        <f t="shared" si="0"/>
        <v>0</v>
      </c>
      <c r="P5" s="23">
        <f t="shared" si="0"/>
        <v>0</v>
      </c>
      <c r="Q5" s="23">
        <f t="shared" si="0"/>
        <v>0</v>
      </c>
      <c r="R5" s="23">
        <f t="shared" si="0"/>
        <v>0</v>
      </c>
      <c r="S5" s="23">
        <f t="shared" si="0"/>
        <v>0</v>
      </c>
      <c r="T5" s="23">
        <f t="shared" si="0"/>
        <v>0</v>
      </c>
    </row>
    <row r="6" spans="1:20" ht="16.2" thickBot="1" x14ac:dyDescent="0.35">
      <c r="A6" s="74"/>
      <c r="B6" s="1" t="s">
        <v>21</v>
      </c>
      <c r="C6" s="1">
        <v>-0.8</v>
      </c>
      <c r="D6" s="1">
        <v>-1.2</v>
      </c>
      <c r="E6" s="1">
        <v>-2</v>
      </c>
      <c r="F6" s="1">
        <v>-3</v>
      </c>
      <c r="G6" s="1">
        <v>-4</v>
      </c>
      <c r="H6" s="1">
        <v>-6</v>
      </c>
      <c r="I6" s="1">
        <v>-10</v>
      </c>
      <c r="J6" s="1">
        <v>-14</v>
      </c>
      <c r="K6" s="1">
        <v>-25</v>
      </c>
      <c r="L6" s="1">
        <v>-40</v>
      </c>
      <c r="M6" s="1">
        <v>-60</v>
      </c>
      <c r="N6" s="1">
        <f>-0.1*(1000)</f>
        <v>-100</v>
      </c>
      <c r="O6" s="1">
        <f>-0.14*(1000)</f>
        <v>-140</v>
      </c>
      <c r="P6" s="1">
        <f>-0.25*(1000)</f>
        <v>-250</v>
      </c>
      <c r="Q6" s="1">
        <f>-0.4*(1000)</f>
        <v>-400</v>
      </c>
      <c r="R6" s="1">
        <f>-0.6*(1000)</f>
        <v>-600</v>
      </c>
      <c r="S6" s="1">
        <f>-1*(1000)</f>
        <v>-1000</v>
      </c>
      <c r="T6" s="1">
        <f>-1.4*(1000)</f>
        <v>-1400</v>
      </c>
    </row>
    <row r="7" spans="1:20" ht="15.6" x14ac:dyDescent="0.3">
      <c r="A7" s="47">
        <v>3</v>
      </c>
      <c r="B7" s="49">
        <v>6</v>
      </c>
      <c r="C7" s="23">
        <v>0</v>
      </c>
      <c r="D7" s="23">
        <v>0</v>
      </c>
      <c r="E7" s="23">
        <v>0</v>
      </c>
      <c r="F7" s="23">
        <v>0</v>
      </c>
      <c r="G7" s="23">
        <v>0</v>
      </c>
      <c r="H7" s="23">
        <v>0</v>
      </c>
      <c r="I7" s="23">
        <v>0</v>
      </c>
      <c r="J7" s="23">
        <v>0</v>
      </c>
      <c r="K7" s="23">
        <v>0</v>
      </c>
      <c r="L7" s="23">
        <v>0</v>
      </c>
      <c r="M7" s="23">
        <v>0</v>
      </c>
      <c r="N7" s="23">
        <f t="shared" ref="N7:T7" si="1">0*(1000)</f>
        <v>0</v>
      </c>
      <c r="O7" s="23">
        <f t="shared" si="1"/>
        <v>0</v>
      </c>
      <c r="P7" s="23">
        <f t="shared" si="1"/>
        <v>0</v>
      </c>
      <c r="Q7" s="23">
        <f t="shared" si="1"/>
        <v>0</v>
      </c>
      <c r="R7" s="23">
        <f t="shared" si="1"/>
        <v>0</v>
      </c>
      <c r="S7" s="23">
        <f t="shared" si="1"/>
        <v>0</v>
      </c>
      <c r="T7" s="23">
        <f t="shared" si="1"/>
        <v>0</v>
      </c>
    </row>
    <row r="8" spans="1:20" ht="16.2" thickBot="1" x14ac:dyDescent="0.35">
      <c r="A8" s="48"/>
      <c r="B8" s="50"/>
      <c r="C8" s="1">
        <v>-1</v>
      </c>
      <c r="D8" s="1">
        <v>-1.5</v>
      </c>
      <c r="E8" s="1">
        <v>-2.5</v>
      </c>
      <c r="F8" s="1">
        <v>-4</v>
      </c>
      <c r="G8" s="1">
        <v>-5</v>
      </c>
      <c r="H8" s="1">
        <v>-8</v>
      </c>
      <c r="I8" s="1">
        <v>-12</v>
      </c>
      <c r="J8" s="1">
        <v>-18</v>
      </c>
      <c r="K8" s="1">
        <v>-30</v>
      </c>
      <c r="L8" s="1">
        <v>-48</v>
      </c>
      <c r="M8" s="1">
        <v>-75</v>
      </c>
      <c r="N8" s="1">
        <f>-0.12*(1000)</f>
        <v>-120</v>
      </c>
      <c r="O8" s="1">
        <f>-0.18*(1000)</f>
        <v>-180</v>
      </c>
      <c r="P8" s="1">
        <f>-0.3*(1000)</f>
        <v>-300</v>
      </c>
      <c r="Q8" s="1">
        <f>-0.48*(1000)</f>
        <v>-480</v>
      </c>
      <c r="R8" s="1">
        <f>-0.75*(1000)</f>
        <v>-750</v>
      </c>
      <c r="S8" s="1">
        <f>-1.2*(1000)</f>
        <v>-1200</v>
      </c>
      <c r="T8" s="1">
        <f>-1.8*(1000)</f>
        <v>-1800</v>
      </c>
    </row>
    <row r="9" spans="1:20" ht="15.6" x14ac:dyDescent="0.3">
      <c r="A9" s="47">
        <v>6</v>
      </c>
      <c r="B9" s="49">
        <v>10</v>
      </c>
      <c r="C9" s="23">
        <v>0</v>
      </c>
      <c r="D9" s="23">
        <v>0</v>
      </c>
      <c r="E9" s="23">
        <v>0</v>
      </c>
      <c r="F9" s="23">
        <v>0</v>
      </c>
      <c r="G9" s="23">
        <v>0</v>
      </c>
      <c r="H9" s="23">
        <v>0</v>
      </c>
      <c r="I9" s="23">
        <v>0</v>
      </c>
      <c r="J9" s="23">
        <v>0</v>
      </c>
      <c r="K9" s="23">
        <v>0</v>
      </c>
      <c r="L9" s="23">
        <v>0</v>
      </c>
      <c r="M9" s="23">
        <v>0</v>
      </c>
      <c r="N9" s="23">
        <f t="shared" ref="N9:T9" si="2">0*(1000)</f>
        <v>0</v>
      </c>
      <c r="O9" s="23">
        <f t="shared" si="2"/>
        <v>0</v>
      </c>
      <c r="P9" s="23">
        <f t="shared" si="2"/>
        <v>0</v>
      </c>
      <c r="Q9" s="23">
        <f t="shared" si="2"/>
        <v>0</v>
      </c>
      <c r="R9" s="23">
        <f t="shared" si="2"/>
        <v>0</v>
      </c>
      <c r="S9" s="23">
        <f t="shared" si="2"/>
        <v>0</v>
      </c>
      <c r="T9" s="23">
        <f t="shared" si="2"/>
        <v>0</v>
      </c>
    </row>
    <row r="10" spans="1:20" ht="16.2" thickBot="1" x14ac:dyDescent="0.35">
      <c r="A10" s="48"/>
      <c r="B10" s="50"/>
      <c r="C10" s="1">
        <v>-1</v>
      </c>
      <c r="D10" s="1">
        <v>-1.5</v>
      </c>
      <c r="E10" s="1">
        <v>-2.5</v>
      </c>
      <c r="F10" s="1">
        <v>-4</v>
      </c>
      <c r="G10" s="1">
        <v>-6</v>
      </c>
      <c r="H10" s="1">
        <v>-9</v>
      </c>
      <c r="I10" s="1">
        <v>-15</v>
      </c>
      <c r="J10" s="1">
        <v>-22</v>
      </c>
      <c r="K10" s="1">
        <v>-36</v>
      </c>
      <c r="L10" s="1">
        <v>-58</v>
      </c>
      <c r="M10" s="1">
        <v>-90</v>
      </c>
      <c r="N10" s="1">
        <f>-0.15*(1000)</f>
        <v>-150</v>
      </c>
      <c r="O10" s="1">
        <f>-0.22*(1000)</f>
        <v>-220</v>
      </c>
      <c r="P10" s="1">
        <f>-0.36*(1000)</f>
        <v>-360</v>
      </c>
      <c r="Q10" s="1">
        <f>-0.58*(1000)</f>
        <v>-580</v>
      </c>
      <c r="R10" s="1">
        <f>-0.9*(1000)</f>
        <v>-900</v>
      </c>
      <c r="S10" s="1">
        <f>-1.5*(1000)</f>
        <v>-1500</v>
      </c>
      <c r="T10" s="1">
        <f>-2.2*(1000)</f>
        <v>-2200</v>
      </c>
    </row>
    <row r="11" spans="1:20" ht="15.6" x14ac:dyDescent="0.3">
      <c r="A11" s="47">
        <v>10</v>
      </c>
      <c r="B11" s="49">
        <v>18</v>
      </c>
      <c r="C11" s="23">
        <v>0</v>
      </c>
      <c r="D11" s="23">
        <v>0</v>
      </c>
      <c r="E11" s="23">
        <v>0</v>
      </c>
      <c r="F11" s="23">
        <v>0</v>
      </c>
      <c r="G11" s="23">
        <v>0</v>
      </c>
      <c r="H11" s="23">
        <v>0</v>
      </c>
      <c r="I11" s="23">
        <v>0</v>
      </c>
      <c r="J11" s="23">
        <v>0</v>
      </c>
      <c r="K11" s="23">
        <v>0</v>
      </c>
      <c r="L11" s="23">
        <v>0</v>
      </c>
      <c r="M11" s="23">
        <v>0</v>
      </c>
      <c r="N11" s="23">
        <f t="shared" ref="N11:T11" si="3">0*(1000)</f>
        <v>0</v>
      </c>
      <c r="O11" s="23">
        <f t="shared" si="3"/>
        <v>0</v>
      </c>
      <c r="P11" s="23">
        <f t="shared" si="3"/>
        <v>0</v>
      </c>
      <c r="Q11" s="23">
        <f t="shared" si="3"/>
        <v>0</v>
      </c>
      <c r="R11" s="23">
        <f t="shared" si="3"/>
        <v>0</v>
      </c>
      <c r="S11" s="23">
        <f t="shared" si="3"/>
        <v>0</v>
      </c>
      <c r="T11" s="23">
        <f t="shared" si="3"/>
        <v>0</v>
      </c>
    </row>
    <row r="12" spans="1:20" ht="16.2" thickBot="1" x14ac:dyDescent="0.35">
      <c r="A12" s="48"/>
      <c r="B12" s="50"/>
      <c r="C12" s="1">
        <v>-1.2</v>
      </c>
      <c r="D12" s="1">
        <v>-2</v>
      </c>
      <c r="E12" s="1">
        <v>-3</v>
      </c>
      <c r="F12" s="1">
        <v>-5</v>
      </c>
      <c r="G12" s="1">
        <v>-8</v>
      </c>
      <c r="H12" s="1">
        <v>-11</v>
      </c>
      <c r="I12" s="1">
        <v>-18</v>
      </c>
      <c r="J12" s="1">
        <v>-27</v>
      </c>
      <c r="K12" s="1">
        <v>-43</v>
      </c>
      <c r="L12" s="1">
        <v>-70</v>
      </c>
      <c r="M12" s="1">
        <v>-110</v>
      </c>
      <c r="N12" s="1">
        <f>-0.18*(1000)</f>
        <v>-180</v>
      </c>
      <c r="O12" s="1">
        <f>-0.27*(1000)</f>
        <v>-270</v>
      </c>
      <c r="P12" s="1">
        <f>-0.43*(1000)</f>
        <v>-430</v>
      </c>
      <c r="Q12" s="1">
        <f>-0.7*(1000)</f>
        <v>-700</v>
      </c>
      <c r="R12" s="1">
        <f>-1.1*(1000)</f>
        <v>-1100</v>
      </c>
      <c r="S12" s="1">
        <f>-1.8*(1000)</f>
        <v>-1800</v>
      </c>
      <c r="T12" s="1">
        <f>-2.7*(1000)</f>
        <v>-2700</v>
      </c>
    </row>
    <row r="13" spans="1:20" ht="15.6" x14ac:dyDescent="0.3">
      <c r="A13" s="47">
        <v>18</v>
      </c>
      <c r="B13" s="49">
        <v>30</v>
      </c>
      <c r="C13" s="23">
        <v>0</v>
      </c>
      <c r="D13" s="23">
        <v>0</v>
      </c>
      <c r="E13" s="23">
        <v>0</v>
      </c>
      <c r="F13" s="23">
        <v>0</v>
      </c>
      <c r="G13" s="23">
        <v>0</v>
      </c>
      <c r="H13" s="23">
        <v>0</v>
      </c>
      <c r="I13" s="23">
        <v>0</v>
      </c>
      <c r="J13" s="23">
        <v>0</v>
      </c>
      <c r="K13" s="23">
        <v>0</v>
      </c>
      <c r="L13" s="23">
        <v>0</v>
      </c>
      <c r="M13" s="23">
        <v>0</v>
      </c>
      <c r="N13" s="23">
        <f t="shared" ref="N13:T13" si="4">0*(1000)</f>
        <v>0</v>
      </c>
      <c r="O13" s="23">
        <f t="shared" si="4"/>
        <v>0</v>
      </c>
      <c r="P13" s="23">
        <f t="shared" si="4"/>
        <v>0</v>
      </c>
      <c r="Q13" s="23">
        <f t="shared" si="4"/>
        <v>0</v>
      </c>
      <c r="R13" s="23">
        <f t="shared" si="4"/>
        <v>0</v>
      </c>
      <c r="S13" s="23">
        <f t="shared" si="4"/>
        <v>0</v>
      </c>
      <c r="T13" s="23">
        <f t="shared" si="4"/>
        <v>0</v>
      </c>
    </row>
    <row r="14" spans="1:20" ht="16.2" thickBot="1" x14ac:dyDescent="0.35">
      <c r="A14" s="48"/>
      <c r="B14" s="50"/>
      <c r="C14" s="1">
        <v>-1.5</v>
      </c>
      <c r="D14" s="1">
        <v>-2.5</v>
      </c>
      <c r="E14" s="1">
        <v>-4</v>
      </c>
      <c r="F14" s="1">
        <v>-6</v>
      </c>
      <c r="G14" s="1">
        <v>-9</v>
      </c>
      <c r="H14" s="1">
        <v>-13</v>
      </c>
      <c r="I14" s="1">
        <v>-21</v>
      </c>
      <c r="J14" s="1">
        <v>-33</v>
      </c>
      <c r="K14" s="1">
        <v>-52</v>
      </c>
      <c r="L14" s="1">
        <v>-84</v>
      </c>
      <c r="M14" s="1">
        <v>-130</v>
      </c>
      <c r="N14" s="1">
        <f>-0.21*(1000)</f>
        <v>-210</v>
      </c>
      <c r="O14" s="1">
        <f>-0.33*(1000)</f>
        <v>-330</v>
      </c>
      <c r="P14" s="1">
        <f>-0.52*(1000)</f>
        <v>-520</v>
      </c>
      <c r="Q14" s="1">
        <f>-0.84*(1000)</f>
        <v>-840</v>
      </c>
      <c r="R14" s="1">
        <f>-1.3*(1000)</f>
        <v>-1300</v>
      </c>
      <c r="S14" s="1">
        <f>-2.1*(1000)</f>
        <v>-2100</v>
      </c>
      <c r="T14" s="1">
        <f>-3.3*(1000)</f>
        <v>-3300</v>
      </c>
    </row>
    <row r="15" spans="1:20" ht="15.6" x14ac:dyDescent="0.3">
      <c r="A15" s="47">
        <v>30</v>
      </c>
      <c r="B15" s="49">
        <v>50</v>
      </c>
      <c r="C15" s="23">
        <v>0</v>
      </c>
      <c r="D15" s="23">
        <v>0</v>
      </c>
      <c r="E15" s="23">
        <v>0</v>
      </c>
      <c r="F15" s="23">
        <v>0</v>
      </c>
      <c r="G15" s="23">
        <v>0</v>
      </c>
      <c r="H15" s="23">
        <v>0</v>
      </c>
      <c r="I15" s="23">
        <v>0</v>
      </c>
      <c r="J15" s="23">
        <v>0</v>
      </c>
      <c r="K15" s="23">
        <v>0</v>
      </c>
      <c r="L15" s="23">
        <v>0</v>
      </c>
      <c r="M15" s="23">
        <v>0</v>
      </c>
      <c r="N15" s="23">
        <f t="shared" ref="N15:T15" si="5">0*(1000)</f>
        <v>0</v>
      </c>
      <c r="O15" s="23">
        <f t="shared" si="5"/>
        <v>0</v>
      </c>
      <c r="P15" s="23">
        <f t="shared" si="5"/>
        <v>0</v>
      </c>
      <c r="Q15" s="23">
        <f t="shared" si="5"/>
        <v>0</v>
      </c>
      <c r="R15" s="23">
        <f t="shared" si="5"/>
        <v>0</v>
      </c>
      <c r="S15" s="23">
        <f t="shared" si="5"/>
        <v>0</v>
      </c>
      <c r="T15" s="23">
        <f t="shared" si="5"/>
        <v>0</v>
      </c>
    </row>
    <row r="16" spans="1:20" ht="16.2" thickBot="1" x14ac:dyDescent="0.35">
      <c r="A16" s="48"/>
      <c r="B16" s="50"/>
      <c r="C16" s="1">
        <v>-1.5</v>
      </c>
      <c r="D16" s="1">
        <v>-2.5</v>
      </c>
      <c r="E16" s="1">
        <v>-4</v>
      </c>
      <c r="F16" s="1">
        <v>-7</v>
      </c>
      <c r="G16" s="1">
        <v>-11</v>
      </c>
      <c r="H16" s="1">
        <v>-16</v>
      </c>
      <c r="I16" s="1">
        <v>-25</v>
      </c>
      <c r="J16" s="1">
        <v>-39</v>
      </c>
      <c r="K16" s="1">
        <v>-62</v>
      </c>
      <c r="L16" s="1">
        <v>-100</v>
      </c>
      <c r="M16" s="1">
        <v>-160</v>
      </c>
      <c r="N16" s="1">
        <f>-0.25*(1000)</f>
        <v>-250</v>
      </c>
      <c r="O16" s="1">
        <f>-0.39*(1000)</f>
        <v>-390</v>
      </c>
      <c r="P16" s="1">
        <f>-0.62*(1000)</f>
        <v>-620</v>
      </c>
      <c r="Q16" s="1">
        <f>-1*(1000)</f>
        <v>-1000</v>
      </c>
      <c r="R16" s="1">
        <f>-1.6*(1000)</f>
        <v>-1600</v>
      </c>
      <c r="S16" s="1">
        <f>-2.5*(1000)</f>
        <v>-2500</v>
      </c>
      <c r="T16" s="1">
        <f>-3.9*(1000)</f>
        <v>-3900</v>
      </c>
    </row>
    <row r="17" spans="1:20" ht="15.6" x14ac:dyDescent="0.3">
      <c r="A17" s="47">
        <v>50</v>
      </c>
      <c r="B17" s="49">
        <v>80</v>
      </c>
      <c r="C17" s="23">
        <v>0</v>
      </c>
      <c r="D17" s="23">
        <v>0</v>
      </c>
      <c r="E17" s="23">
        <v>0</v>
      </c>
      <c r="F17" s="23">
        <v>0</v>
      </c>
      <c r="G17" s="23">
        <v>0</v>
      </c>
      <c r="H17" s="23">
        <v>0</v>
      </c>
      <c r="I17" s="23">
        <v>0</v>
      </c>
      <c r="J17" s="23">
        <v>0</v>
      </c>
      <c r="K17" s="23">
        <v>0</v>
      </c>
      <c r="L17" s="23">
        <v>0</v>
      </c>
      <c r="M17" s="23">
        <v>0</v>
      </c>
      <c r="N17" s="23">
        <f t="shared" ref="N17:T17" si="6">0*(1000)</f>
        <v>0</v>
      </c>
      <c r="O17" s="23">
        <f t="shared" si="6"/>
        <v>0</v>
      </c>
      <c r="P17" s="23">
        <f t="shared" si="6"/>
        <v>0</v>
      </c>
      <c r="Q17" s="23">
        <f t="shared" si="6"/>
        <v>0</v>
      </c>
      <c r="R17" s="23">
        <f t="shared" si="6"/>
        <v>0</v>
      </c>
      <c r="S17" s="23">
        <f t="shared" si="6"/>
        <v>0</v>
      </c>
      <c r="T17" s="23">
        <f t="shared" si="6"/>
        <v>0</v>
      </c>
    </row>
    <row r="18" spans="1:20" ht="16.2" thickBot="1" x14ac:dyDescent="0.35">
      <c r="A18" s="48"/>
      <c r="B18" s="50"/>
      <c r="C18" s="1">
        <v>-2</v>
      </c>
      <c r="D18" s="1">
        <v>-3</v>
      </c>
      <c r="E18" s="1">
        <v>-5</v>
      </c>
      <c r="F18" s="1">
        <v>-8</v>
      </c>
      <c r="G18" s="1">
        <v>-13</v>
      </c>
      <c r="H18" s="1">
        <v>-19</v>
      </c>
      <c r="I18" s="1">
        <v>-30</v>
      </c>
      <c r="J18" s="1">
        <v>-46</v>
      </c>
      <c r="K18" s="1">
        <v>-74</v>
      </c>
      <c r="L18" s="1">
        <v>-120</v>
      </c>
      <c r="M18" s="1">
        <v>-190</v>
      </c>
      <c r="N18" s="1">
        <f>-0.3*(1000)</f>
        <v>-300</v>
      </c>
      <c r="O18" s="1">
        <f>-0.46*(1000)</f>
        <v>-460</v>
      </c>
      <c r="P18" s="1">
        <f>-0.74*(1000)</f>
        <v>-740</v>
      </c>
      <c r="Q18" s="1">
        <f>-1.2*(1000)</f>
        <v>-1200</v>
      </c>
      <c r="R18" s="1">
        <f>-1.9*(1000)</f>
        <v>-1900</v>
      </c>
      <c r="S18" s="1">
        <f>-3*(1000)</f>
        <v>-3000</v>
      </c>
      <c r="T18" s="1">
        <f>-4.6*(1000)</f>
        <v>-4600</v>
      </c>
    </row>
    <row r="19" spans="1:20" ht="15.6" x14ac:dyDescent="0.3">
      <c r="A19" s="47">
        <v>80</v>
      </c>
      <c r="B19" s="49">
        <v>120</v>
      </c>
      <c r="C19" s="23">
        <v>0</v>
      </c>
      <c r="D19" s="23">
        <v>0</v>
      </c>
      <c r="E19" s="23">
        <v>0</v>
      </c>
      <c r="F19" s="23">
        <v>0</v>
      </c>
      <c r="G19" s="23">
        <v>0</v>
      </c>
      <c r="H19" s="23">
        <v>0</v>
      </c>
      <c r="I19" s="23">
        <v>0</v>
      </c>
      <c r="J19" s="23">
        <v>0</v>
      </c>
      <c r="K19" s="23">
        <v>0</v>
      </c>
      <c r="L19" s="23">
        <v>0</v>
      </c>
      <c r="M19" s="23">
        <v>0</v>
      </c>
      <c r="N19" s="23">
        <f t="shared" ref="N19:T19" si="7">0*(1000)</f>
        <v>0</v>
      </c>
      <c r="O19" s="23">
        <f t="shared" si="7"/>
        <v>0</v>
      </c>
      <c r="P19" s="23">
        <f t="shared" si="7"/>
        <v>0</v>
      </c>
      <c r="Q19" s="23">
        <f t="shared" si="7"/>
        <v>0</v>
      </c>
      <c r="R19" s="23">
        <f t="shared" si="7"/>
        <v>0</v>
      </c>
      <c r="S19" s="23">
        <f t="shared" si="7"/>
        <v>0</v>
      </c>
      <c r="T19" s="23">
        <f t="shared" si="7"/>
        <v>0</v>
      </c>
    </row>
    <row r="20" spans="1:20" ht="16.2" thickBot="1" x14ac:dyDescent="0.35">
      <c r="A20" s="48"/>
      <c r="B20" s="50"/>
      <c r="C20" s="1">
        <v>-2.5</v>
      </c>
      <c r="D20" s="1">
        <v>-4</v>
      </c>
      <c r="E20" s="1">
        <v>-6</v>
      </c>
      <c r="F20" s="1">
        <v>-10</v>
      </c>
      <c r="G20" s="1">
        <v>-15</v>
      </c>
      <c r="H20" s="1">
        <v>-22</v>
      </c>
      <c r="I20" s="1">
        <v>-35</v>
      </c>
      <c r="J20" s="1">
        <v>-54</v>
      </c>
      <c r="K20" s="1">
        <v>-87</v>
      </c>
      <c r="L20" s="1">
        <v>-140</v>
      </c>
      <c r="M20" s="1">
        <v>-220</v>
      </c>
      <c r="N20" s="1">
        <f>-0.35*(1000)</f>
        <v>-350</v>
      </c>
      <c r="O20" s="1">
        <f>-0.54*(1000)</f>
        <v>-540</v>
      </c>
      <c r="P20" s="1">
        <f>-0.87*(1000)</f>
        <v>-870</v>
      </c>
      <c r="Q20" s="1">
        <f>-1.4*(1000)</f>
        <v>-1400</v>
      </c>
      <c r="R20" s="1">
        <f>-2.2*(1000)</f>
        <v>-2200</v>
      </c>
      <c r="S20" s="1">
        <f>-3.5*(1000)</f>
        <v>-3500</v>
      </c>
      <c r="T20" s="1">
        <f>-5.4*(1000)</f>
        <v>-5400</v>
      </c>
    </row>
    <row r="21" spans="1:20" ht="15.6" x14ac:dyDescent="0.3">
      <c r="A21" s="47">
        <v>120</v>
      </c>
      <c r="B21" s="49">
        <v>180</v>
      </c>
      <c r="C21" s="23">
        <v>0</v>
      </c>
      <c r="D21" s="23">
        <v>0</v>
      </c>
      <c r="E21" s="23">
        <v>0</v>
      </c>
      <c r="F21" s="23">
        <v>0</v>
      </c>
      <c r="G21" s="23">
        <v>0</v>
      </c>
      <c r="H21" s="23">
        <v>0</v>
      </c>
      <c r="I21" s="23">
        <v>0</v>
      </c>
      <c r="J21" s="23">
        <v>0</v>
      </c>
      <c r="K21" s="23">
        <v>0</v>
      </c>
      <c r="L21" s="23">
        <v>0</v>
      </c>
      <c r="M21" s="23">
        <v>0</v>
      </c>
      <c r="N21" s="23">
        <f t="shared" ref="N21:T21" si="8">0*(1000)</f>
        <v>0</v>
      </c>
      <c r="O21" s="23">
        <f t="shared" si="8"/>
        <v>0</v>
      </c>
      <c r="P21" s="23">
        <f t="shared" si="8"/>
        <v>0</v>
      </c>
      <c r="Q21" s="23">
        <f t="shared" si="8"/>
        <v>0</v>
      </c>
      <c r="R21" s="23">
        <f t="shared" si="8"/>
        <v>0</v>
      </c>
      <c r="S21" s="23">
        <f t="shared" si="8"/>
        <v>0</v>
      </c>
      <c r="T21" s="23">
        <f t="shared" si="8"/>
        <v>0</v>
      </c>
    </row>
    <row r="22" spans="1:20" ht="16.2" thickBot="1" x14ac:dyDescent="0.35">
      <c r="A22" s="48"/>
      <c r="B22" s="50"/>
      <c r="C22" s="1">
        <v>-3.5</v>
      </c>
      <c r="D22" s="1">
        <v>-5</v>
      </c>
      <c r="E22" s="1">
        <v>-8</v>
      </c>
      <c r="F22" s="1">
        <v>-12</v>
      </c>
      <c r="G22" s="1">
        <v>-18</v>
      </c>
      <c r="H22" s="1">
        <v>-25</v>
      </c>
      <c r="I22" s="1">
        <v>-40</v>
      </c>
      <c r="J22" s="1">
        <v>-63</v>
      </c>
      <c r="K22" s="1">
        <v>-100</v>
      </c>
      <c r="L22" s="1">
        <v>-160</v>
      </c>
      <c r="M22" s="1">
        <v>-250</v>
      </c>
      <c r="N22" s="1">
        <f>-0.4*(1000)</f>
        <v>-400</v>
      </c>
      <c r="O22" s="1">
        <f>-0.63*(1000)</f>
        <v>-630</v>
      </c>
      <c r="P22" s="1">
        <f>-1*(1000)</f>
        <v>-1000</v>
      </c>
      <c r="Q22" s="1">
        <f>-1.6*(1000)</f>
        <v>-1600</v>
      </c>
      <c r="R22" s="1">
        <f>-2.5*(1000)</f>
        <v>-2500</v>
      </c>
      <c r="S22" s="1">
        <f>-4*(1000)</f>
        <v>-4000</v>
      </c>
      <c r="T22" s="1">
        <f>-6.3*(1000)</f>
        <v>-6300</v>
      </c>
    </row>
    <row r="23" spans="1:20" ht="15.6" x14ac:dyDescent="0.3">
      <c r="A23" s="47">
        <v>180</v>
      </c>
      <c r="B23" s="49">
        <v>250</v>
      </c>
      <c r="C23" s="23">
        <v>0</v>
      </c>
      <c r="D23" s="23">
        <v>0</v>
      </c>
      <c r="E23" s="23">
        <v>0</v>
      </c>
      <c r="F23" s="23">
        <v>0</v>
      </c>
      <c r="G23" s="23">
        <v>0</v>
      </c>
      <c r="H23" s="23">
        <v>0</v>
      </c>
      <c r="I23" s="23">
        <v>0</v>
      </c>
      <c r="J23" s="23">
        <v>0</v>
      </c>
      <c r="K23" s="23">
        <v>0</v>
      </c>
      <c r="L23" s="23">
        <v>0</v>
      </c>
      <c r="M23" s="23">
        <v>0</v>
      </c>
      <c r="N23" s="23">
        <f t="shared" ref="N23:T23" si="9">0*(1000)</f>
        <v>0</v>
      </c>
      <c r="O23" s="23">
        <f t="shared" si="9"/>
        <v>0</v>
      </c>
      <c r="P23" s="23">
        <f t="shared" si="9"/>
        <v>0</v>
      </c>
      <c r="Q23" s="23">
        <f t="shared" si="9"/>
        <v>0</v>
      </c>
      <c r="R23" s="23">
        <f t="shared" si="9"/>
        <v>0</v>
      </c>
      <c r="S23" s="23">
        <f t="shared" si="9"/>
        <v>0</v>
      </c>
      <c r="T23" s="23">
        <f t="shared" si="9"/>
        <v>0</v>
      </c>
    </row>
    <row r="24" spans="1:20" ht="16.2" thickBot="1" x14ac:dyDescent="0.35">
      <c r="A24" s="48"/>
      <c r="B24" s="50"/>
      <c r="C24" s="1">
        <v>-4.5</v>
      </c>
      <c r="D24" s="1">
        <v>-7</v>
      </c>
      <c r="E24" s="1">
        <v>-10</v>
      </c>
      <c r="F24" s="1">
        <v>-14</v>
      </c>
      <c r="G24" s="1">
        <v>-20</v>
      </c>
      <c r="H24" s="1">
        <v>-29</v>
      </c>
      <c r="I24" s="1">
        <v>-46</v>
      </c>
      <c r="J24" s="1">
        <v>-72</v>
      </c>
      <c r="K24" s="1">
        <v>-115</v>
      </c>
      <c r="L24" s="1">
        <v>-185</v>
      </c>
      <c r="M24" s="1">
        <v>-290</v>
      </c>
      <c r="N24" s="1">
        <f>-0.46*(1000)</f>
        <v>-460</v>
      </c>
      <c r="O24" s="1">
        <f>-0.72*(1000)</f>
        <v>-720</v>
      </c>
      <c r="P24" s="1">
        <f>-1.15*(1000)</f>
        <v>-1150</v>
      </c>
      <c r="Q24" s="1">
        <f>-1.85*(1000)</f>
        <v>-1850</v>
      </c>
      <c r="R24" s="1">
        <f>-2.9*(1000)</f>
        <v>-2900</v>
      </c>
      <c r="S24" s="1">
        <f>-4.6*(1000)</f>
        <v>-4600</v>
      </c>
      <c r="T24" s="1">
        <f>-7.2*(1000)</f>
        <v>-7200</v>
      </c>
    </row>
    <row r="25" spans="1:20" ht="15.6" x14ac:dyDescent="0.3">
      <c r="A25" s="47">
        <v>250</v>
      </c>
      <c r="B25" s="49">
        <v>315</v>
      </c>
      <c r="C25" s="23">
        <v>0</v>
      </c>
      <c r="D25" s="23">
        <v>0</v>
      </c>
      <c r="E25" s="23">
        <v>0</v>
      </c>
      <c r="F25" s="23">
        <v>0</v>
      </c>
      <c r="G25" s="23">
        <v>0</v>
      </c>
      <c r="H25" s="23">
        <v>0</v>
      </c>
      <c r="I25" s="23">
        <v>0</v>
      </c>
      <c r="J25" s="23">
        <v>0</v>
      </c>
      <c r="K25" s="23">
        <v>0</v>
      </c>
      <c r="L25" s="23">
        <v>0</v>
      </c>
      <c r="M25" s="23">
        <v>0</v>
      </c>
      <c r="N25" s="23">
        <f t="shared" ref="N25:T25" si="10">0*(1000)</f>
        <v>0</v>
      </c>
      <c r="O25" s="23">
        <f t="shared" si="10"/>
        <v>0</v>
      </c>
      <c r="P25" s="23">
        <f t="shared" si="10"/>
        <v>0</v>
      </c>
      <c r="Q25" s="23">
        <f t="shared" si="10"/>
        <v>0</v>
      </c>
      <c r="R25" s="23">
        <f t="shared" si="10"/>
        <v>0</v>
      </c>
      <c r="S25" s="23">
        <f t="shared" si="10"/>
        <v>0</v>
      </c>
      <c r="T25" s="23">
        <f t="shared" si="10"/>
        <v>0</v>
      </c>
    </row>
    <row r="26" spans="1:20" ht="16.2" thickBot="1" x14ac:dyDescent="0.35">
      <c r="A26" s="48"/>
      <c r="B26" s="50"/>
      <c r="C26" s="1">
        <v>-6</v>
      </c>
      <c r="D26" s="1">
        <v>-8</v>
      </c>
      <c r="E26" s="1">
        <v>-12</v>
      </c>
      <c r="F26" s="1">
        <v>-16</v>
      </c>
      <c r="G26" s="1">
        <v>-23</v>
      </c>
      <c r="H26" s="1">
        <v>-32</v>
      </c>
      <c r="I26" s="1">
        <v>-52</v>
      </c>
      <c r="J26" s="1">
        <v>-81</v>
      </c>
      <c r="K26" s="1">
        <v>-130</v>
      </c>
      <c r="L26" s="1">
        <v>-210</v>
      </c>
      <c r="M26" s="1">
        <v>-320</v>
      </c>
      <c r="N26" s="1">
        <f>-0.52*(1000)</f>
        <v>-520</v>
      </c>
      <c r="O26" s="1">
        <f>-0.81*(1000)</f>
        <v>-810</v>
      </c>
      <c r="P26" s="1">
        <f>-1.3*(1000)</f>
        <v>-1300</v>
      </c>
      <c r="Q26" s="1">
        <f>-2.1*(1000)</f>
        <v>-2100</v>
      </c>
      <c r="R26" s="1">
        <f>-3.2*(1000)</f>
        <v>-3200</v>
      </c>
      <c r="S26" s="1">
        <f>-5.2*(1000)</f>
        <v>-5200</v>
      </c>
      <c r="T26" s="1">
        <f>-8.1*(1000)</f>
        <v>-8100</v>
      </c>
    </row>
    <row r="27" spans="1:20" ht="15.6" x14ac:dyDescent="0.3">
      <c r="A27" s="47">
        <v>315</v>
      </c>
      <c r="B27" s="49">
        <v>400</v>
      </c>
      <c r="C27" s="23">
        <v>0</v>
      </c>
      <c r="D27" s="23">
        <v>0</v>
      </c>
      <c r="E27" s="23">
        <v>0</v>
      </c>
      <c r="F27" s="23">
        <v>0</v>
      </c>
      <c r="G27" s="23">
        <v>0</v>
      </c>
      <c r="H27" s="23">
        <v>0</v>
      </c>
      <c r="I27" s="23">
        <v>0</v>
      </c>
      <c r="J27" s="23">
        <v>0</v>
      </c>
      <c r="K27" s="23">
        <v>0</v>
      </c>
      <c r="L27" s="23">
        <v>0</v>
      </c>
      <c r="M27" s="23">
        <v>0</v>
      </c>
      <c r="N27" s="23">
        <f t="shared" ref="N27:T27" si="11">0*(1000)</f>
        <v>0</v>
      </c>
      <c r="O27" s="23">
        <f t="shared" si="11"/>
        <v>0</v>
      </c>
      <c r="P27" s="23">
        <f t="shared" si="11"/>
        <v>0</v>
      </c>
      <c r="Q27" s="23">
        <f t="shared" si="11"/>
        <v>0</v>
      </c>
      <c r="R27" s="23">
        <f t="shared" si="11"/>
        <v>0</v>
      </c>
      <c r="S27" s="23">
        <f t="shared" si="11"/>
        <v>0</v>
      </c>
      <c r="T27" s="23">
        <f t="shared" si="11"/>
        <v>0</v>
      </c>
    </row>
    <row r="28" spans="1:20" ht="16.2" thickBot="1" x14ac:dyDescent="0.35">
      <c r="A28" s="48"/>
      <c r="B28" s="50"/>
      <c r="C28" s="1">
        <v>-7</v>
      </c>
      <c r="D28" s="1">
        <v>-9</v>
      </c>
      <c r="E28" s="1">
        <v>-13</v>
      </c>
      <c r="F28" s="1">
        <v>-18</v>
      </c>
      <c r="G28" s="1">
        <v>-25</v>
      </c>
      <c r="H28" s="1">
        <v>-36</v>
      </c>
      <c r="I28" s="1">
        <v>-57</v>
      </c>
      <c r="J28" s="1">
        <v>-89</v>
      </c>
      <c r="K28" s="1">
        <v>-140</v>
      </c>
      <c r="L28" s="1">
        <v>-230</v>
      </c>
      <c r="M28" s="1">
        <v>-360</v>
      </c>
      <c r="N28" s="1">
        <f>-0.57*(1000)</f>
        <v>-570</v>
      </c>
      <c r="O28" s="1">
        <f>-0.89*(1000)</f>
        <v>-890</v>
      </c>
      <c r="P28" s="1">
        <f>-1.4*(1000)</f>
        <v>-1400</v>
      </c>
      <c r="Q28" s="1">
        <f>-2.3*(1000)</f>
        <v>-2300</v>
      </c>
      <c r="R28" s="1">
        <f>-3.6*(1000)</f>
        <v>-3600</v>
      </c>
      <c r="S28" s="1">
        <f>-5.7*(1000)</f>
        <v>-5700</v>
      </c>
      <c r="T28" s="1">
        <f>-8.9*(1000)</f>
        <v>-8900</v>
      </c>
    </row>
    <row r="29" spans="1:20" ht="15.6" x14ac:dyDescent="0.3">
      <c r="A29" s="47">
        <v>400</v>
      </c>
      <c r="B29" s="49">
        <v>500</v>
      </c>
      <c r="C29" s="23">
        <v>0</v>
      </c>
      <c r="D29" s="23">
        <v>0</v>
      </c>
      <c r="E29" s="23">
        <v>0</v>
      </c>
      <c r="F29" s="23">
        <v>0</v>
      </c>
      <c r="G29" s="23">
        <v>0</v>
      </c>
      <c r="H29" s="23">
        <v>0</v>
      </c>
      <c r="I29" s="23">
        <v>0</v>
      </c>
      <c r="J29" s="23">
        <v>0</v>
      </c>
      <c r="K29" s="23">
        <v>0</v>
      </c>
      <c r="L29" s="23">
        <v>0</v>
      </c>
      <c r="M29" s="23">
        <v>0</v>
      </c>
      <c r="N29" s="23">
        <f t="shared" ref="N29:T29" si="12">0*(1000)</f>
        <v>0</v>
      </c>
      <c r="O29" s="23">
        <f t="shared" si="12"/>
        <v>0</v>
      </c>
      <c r="P29" s="23">
        <f t="shared" si="12"/>
        <v>0</v>
      </c>
      <c r="Q29" s="23">
        <f t="shared" si="12"/>
        <v>0</v>
      </c>
      <c r="R29" s="23">
        <f t="shared" si="12"/>
        <v>0</v>
      </c>
      <c r="S29" s="23">
        <f t="shared" si="12"/>
        <v>0</v>
      </c>
      <c r="T29" s="23">
        <f t="shared" si="12"/>
        <v>0</v>
      </c>
    </row>
    <row r="30" spans="1:20" ht="16.2" thickBot="1" x14ac:dyDescent="0.35">
      <c r="A30" s="48"/>
      <c r="B30" s="50"/>
      <c r="C30" s="1">
        <v>-8</v>
      </c>
      <c r="D30" s="1">
        <v>-10</v>
      </c>
      <c r="E30" s="1">
        <v>-15</v>
      </c>
      <c r="F30" s="1">
        <v>-20</v>
      </c>
      <c r="G30" s="1">
        <v>-27</v>
      </c>
      <c r="H30" s="1">
        <v>-40</v>
      </c>
      <c r="I30" s="1">
        <v>-63</v>
      </c>
      <c r="J30" s="1">
        <v>-97</v>
      </c>
      <c r="K30" s="1">
        <v>-155</v>
      </c>
      <c r="L30" s="1">
        <v>-250</v>
      </c>
      <c r="M30" s="1">
        <v>-400</v>
      </c>
      <c r="N30" s="1">
        <f>-0.63*(1000)</f>
        <v>-630</v>
      </c>
      <c r="O30" s="1">
        <f>-0.97*(1000)</f>
        <v>-970</v>
      </c>
      <c r="P30" s="1">
        <f>-1.55*(1000)</f>
        <v>-1550</v>
      </c>
      <c r="Q30" s="1">
        <f>-2.5*(1000)</f>
        <v>-2500</v>
      </c>
      <c r="R30" s="1">
        <f>-4*(1000)</f>
        <v>-4000</v>
      </c>
      <c r="S30" s="1">
        <f>-6.3*(1000)</f>
        <v>-6300</v>
      </c>
      <c r="T30" s="1">
        <f>-9.7*(1000)</f>
        <v>-9700</v>
      </c>
    </row>
    <row r="31" spans="1:20" ht="15.6" x14ac:dyDescent="0.3">
      <c r="A31" s="47">
        <v>500</v>
      </c>
      <c r="B31" s="49">
        <v>630</v>
      </c>
      <c r="C31" s="23">
        <v>0</v>
      </c>
      <c r="D31" s="23">
        <v>0</v>
      </c>
      <c r="E31" s="23">
        <v>0</v>
      </c>
      <c r="F31" s="23">
        <v>0</v>
      </c>
      <c r="G31" s="23">
        <v>0</v>
      </c>
      <c r="H31" s="23">
        <v>0</v>
      </c>
      <c r="I31" s="23">
        <v>0</v>
      </c>
      <c r="J31" s="23">
        <v>0</v>
      </c>
      <c r="K31" s="23">
        <v>0</v>
      </c>
      <c r="L31" s="23">
        <v>0</v>
      </c>
      <c r="M31" s="23">
        <v>0</v>
      </c>
      <c r="N31" s="23">
        <f t="shared" ref="N31:T31" si="13">0*(1000)</f>
        <v>0</v>
      </c>
      <c r="O31" s="23">
        <f t="shared" si="13"/>
        <v>0</v>
      </c>
      <c r="P31" s="23">
        <f t="shared" si="13"/>
        <v>0</v>
      </c>
      <c r="Q31" s="23">
        <f t="shared" si="13"/>
        <v>0</v>
      </c>
      <c r="R31" s="23">
        <f t="shared" si="13"/>
        <v>0</v>
      </c>
      <c r="S31" s="23">
        <f t="shared" si="13"/>
        <v>0</v>
      </c>
      <c r="T31" s="23">
        <f t="shared" si="13"/>
        <v>0</v>
      </c>
    </row>
    <row r="32" spans="1:20" ht="16.2" thickBot="1" x14ac:dyDescent="0.35">
      <c r="A32" s="48"/>
      <c r="B32" s="50"/>
      <c r="C32" s="1">
        <v>-9</v>
      </c>
      <c r="D32" s="1">
        <v>-11</v>
      </c>
      <c r="E32" s="1">
        <v>-16</v>
      </c>
      <c r="F32" s="1">
        <v>-22</v>
      </c>
      <c r="G32" s="1">
        <v>-32</v>
      </c>
      <c r="H32" s="1">
        <v>-44</v>
      </c>
      <c r="I32" s="1">
        <v>-70</v>
      </c>
      <c r="J32" s="1">
        <v>-110</v>
      </c>
      <c r="K32" s="1">
        <v>-175</v>
      </c>
      <c r="L32" s="1">
        <v>-280</v>
      </c>
      <c r="M32" s="1">
        <v>-440</v>
      </c>
      <c r="N32" s="1">
        <f>-0.7*(1000)</f>
        <v>-700</v>
      </c>
      <c r="O32" s="1">
        <f>-1.1*(1000)</f>
        <v>-1100</v>
      </c>
      <c r="P32" s="1">
        <f>-1.75*(1000)</f>
        <v>-1750</v>
      </c>
      <c r="Q32" s="1">
        <f>-2.8*(1000)</f>
        <v>-2800</v>
      </c>
      <c r="R32" s="1">
        <f>-4.4*(1000)</f>
        <v>-4400</v>
      </c>
      <c r="S32" s="1">
        <f>-7*(1000)</f>
        <v>-7000</v>
      </c>
      <c r="T32" s="1">
        <f>-11*(1000)</f>
        <v>-11000</v>
      </c>
    </row>
    <row r="33" spans="1:20" ht="15.6" x14ac:dyDescent="0.3">
      <c r="A33" s="47">
        <v>630</v>
      </c>
      <c r="B33" s="49">
        <v>800</v>
      </c>
      <c r="C33" s="23">
        <v>0</v>
      </c>
      <c r="D33" s="23">
        <v>0</v>
      </c>
      <c r="E33" s="23">
        <v>0</v>
      </c>
      <c r="F33" s="23">
        <v>0</v>
      </c>
      <c r="G33" s="23">
        <v>0</v>
      </c>
      <c r="H33" s="23">
        <v>0</v>
      </c>
      <c r="I33" s="23">
        <v>0</v>
      </c>
      <c r="J33" s="23">
        <v>0</v>
      </c>
      <c r="K33" s="23">
        <v>0</v>
      </c>
      <c r="L33" s="23">
        <v>0</v>
      </c>
      <c r="M33" s="23">
        <v>0</v>
      </c>
      <c r="N33" s="23">
        <f t="shared" ref="N33:T33" si="14">0*(1000)</f>
        <v>0</v>
      </c>
      <c r="O33" s="23">
        <f t="shared" si="14"/>
        <v>0</v>
      </c>
      <c r="P33" s="23">
        <f t="shared" si="14"/>
        <v>0</v>
      </c>
      <c r="Q33" s="23">
        <f t="shared" si="14"/>
        <v>0</v>
      </c>
      <c r="R33" s="23">
        <f t="shared" si="14"/>
        <v>0</v>
      </c>
      <c r="S33" s="23">
        <f t="shared" si="14"/>
        <v>0</v>
      </c>
      <c r="T33" s="23">
        <f t="shared" si="14"/>
        <v>0</v>
      </c>
    </row>
    <row r="34" spans="1:20" ht="16.2" thickBot="1" x14ac:dyDescent="0.35">
      <c r="A34" s="48"/>
      <c r="B34" s="50"/>
      <c r="C34" s="1">
        <v>-10</v>
      </c>
      <c r="D34" s="1">
        <v>-13</v>
      </c>
      <c r="E34" s="1">
        <v>-18</v>
      </c>
      <c r="F34" s="1">
        <v>-25</v>
      </c>
      <c r="G34" s="1">
        <v>-36</v>
      </c>
      <c r="H34" s="1">
        <v>-50</v>
      </c>
      <c r="I34" s="1">
        <v>-80</v>
      </c>
      <c r="J34" s="1">
        <v>-125</v>
      </c>
      <c r="K34" s="1">
        <v>-200</v>
      </c>
      <c r="L34" s="1">
        <v>-320</v>
      </c>
      <c r="M34" s="1">
        <v>-500</v>
      </c>
      <c r="N34" s="1">
        <f>-0.8*(1000)</f>
        <v>-800</v>
      </c>
      <c r="O34" s="1">
        <f>-1.25*(1000)</f>
        <v>-1250</v>
      </c>
      <c r="P34" s="1">
        <f>-2*(1000)</f>
        <v>-2000</v>
      </c>
      <c r="Q34" s="1">
        <f>-3.2*(1000)</f>
        <v>-3200</v>
      </c>
      <c r="R34" s="1">
        <f>-5*(1000)</f>
        <v>-5000</v>
      </c>
      <c r="S34" s="1">
        <f>-8*(1000)</f>
        <v>-8000</v>
      </c>
      <c r="T34" s="1">
        <f>-12.5*(1000)</f>
        <v>-12500</v>
      </c>
    </row>
    <row r="35" spans="1:20" ht="15.6" x14ac:dyDescent="0.3">
      <c r="A35" s="47">
        <v>800</v>
      </c>
      <c r="B35" s="79">
        <v>1000</v>
      </c>
      <c r="C35" s="23">
        <v>0</v>
      </c>
      <c r="D35" s="23">
        <v>0</v>
      </c>
      <c r="E35" s="23">
        <v>0</v>
      </c>
      <c r="F35" s="23">
        <v>0</v>
      </c>
      <c r="G35" s="23">
        <v>0</v>
      </c>
      <c r="H35" s="23">
        <v>0</v>
      </c>
      <c r="I35" s="23">
        <v>0</v>
      </c>
      <c r="J35" s="23">
        <v>0</v>
      </c>
      <c r="K35" s="23">
        <v>0</v>
      </c>
      <c r="L35" s="23">
        <v>0</v>
      </c>
      <c r="M35" s="23">
        <v>0</v>
      </c>
      <c r="N35" s="23">
        <f t="shared" ref="N35:T35" si="15">0*(1000)</f>
        <v>0</v>
      </c>
      <c r="O35" s="23">
        <f t="shared" si="15"/>
        <v>0</v>
      </c>
      <c r="P35" s="23">
        <f t="shared" si="15"/>
        <v>0</v>
      </c>
      <c r="Q35" s="23">
        <f t="shared" si="15"/>
        <v>0</v>
      </c>
      <c r="R35" s="23">
        <f t="shared" si="15"/>
        <v>0</v>
      </c>
      <c r="S35" s="23">
        <f t="shared" si="15"/>
        <v>0</v>
      </c>
      <c r="T35" s="23">
        <f t="shared" si="15"/>
        <v>0</v>
      </c>
    </row>
    <row r="36" spans="1:20" ht="16.2" thickBot="1" x14ac:dyDescent="0.35">
      <c r="A36" s="48"/>
      <c r="B36" s="80"/>
      <c r="C36" s="1">
        <v>-11</v>
      </c>
      <c r="D36" s="1">
        <v>-15</v>
      </c>
      <c r="E36" s="1">
        <v>-21</v>
      </c>
      <c r="F36" s="1">
        <v>-28</v>
      </c>
      <c r="G36" s="1">
        <v>-40</v>
      </c>
      <c r="H36" s="1">
        <v>-56</v>
      </c>
      <c r="I36" s="1">
        <v>-90</v>
      </c>
      <c r="J36" s="1">
        <v>-140</v>
      </c>
      <c r="K36" s="1">
        <v>-230</v>
      </c>
      <c r="L36" s="1">
        <v>-360</v>
      </c>
      <c r="M36" s="1">
        <v>-560</v>
      </c>
      <c r="N36" s="1">
        <f>-0.9*(1000)</f>
        <v>-900</v>
      </c>
      <c r="O36" s="1">
        <f>-1.4*(1000)</f>
        <v>-1400</v>
      </c>
      <c r="P36" s="1">
        <f>-2.3*(1000)</f>
        <v>-2300</v>
      </c>
      <c r="Q36" s="1">
        <f>-3.6*(1000)</f>
        <v>-3600</v>
      </c>
      <c r="R36" s="1">
        <f>-5.6*(1000)</f>
        <v>-5600</v>
      </c>
      <c r="S36" s="1">
        <f>-9*(1000)</f>
        <v>-9000</v>
      </c>
      <c r="T36" s="1">
        <f>-14*(1000)</f>
        <v>-14000</v>
      </c>
    </row>
    <row r="37" spans="1:20" ht="15.6" x14ac:dyDescent="0.3">
      <c r="A37" s="81">
        <v>1000</v>
      </c>
      <c r="B37" s="79">
        <v>1250</v>
      </c>
      <c r="C37" s="23">
        <v>0</v>
      </c>
      <c r="D37" s="23">
        <v>0</v>
      </c>
      <c r="E37" s="23">
        <v>0</v>
      </c>
      <c r="F37" s="23">
        <v>0</v>
      </c>
      <c r="G37" s="23">
        <v>0</v>
      </c>
      <c r="H37" s="23">
        <v>0</v>
      </c>
      <c r="I37" s="23">
        <v>0</v>
      </c>
      <c r="J37" s="23">
        <v>0</v>
      </c>
      <c r="K37" s="23">
        <v>0</v>
      </c>
      <c r="L37" s="23">
        <v>0</v>
      </c>
      <c r="M37" s="23">
        <v>0</v>
      </c>
      <c r="N37" s="23">
        <f t="shared" ref="N37:T37" si="16">0*(1000)</f>
        <v>0</v>
      </c>
      <c r="O37" s="23">
        <f t="shared" si="16"/>
        <v>0</v>
      </c>
      <c r="P37" s="23">
        <f t="shared" si="16"/>
        <v>0</v>
      </c>
      <c r="Q37" s="23">
        <f t="shared" si="16"/>
        <v>0</v>
      </c>
      <c r="R37" s="23">
        <f t="shared" si="16"/>
        <v>0</v>
      </c>
      <c r="S37" s="23">
        <f t="shared" si="16"/>
        <v>0</v>
      </c>
      <c r="T37" s="23">
        <f t="shared" si="16"/>
        <v>0</v>
      </c>
    </row>
    <row r="38" spans="1:20" ht="16.2" thickBot="1" x14ac:dyDescent="0.35">
      <c r="A38" s="82"/>
      <c r="B38" s="80"/>
      <c r="C38" s="1">
        <v>-13</v>
      </c>
      <c r="D38" s="1">
        <v>-18</v>
      </c>
      <c r="E38" s="1">
        <v>-24</v>
      </c>
      <c r="F38" s="1">
        <v>-33</v>
      </c>
      <c r="G38" s="1">
        <v>-47</v>
      </c>
      <c r="H38" s="1">
        <v>-66</v>
      </c>
      <c r="I38" s="1">
        <v>-105</v>
      </c>
      <c r="J38" s="1">
        <v>-165</v>
      </c>
      <c r="K38" s="1">
        <v>-260</v>
      </c>
      <c r="L38" s="1">
        <v>-420</v>
      </c>
      <c r="M38" s="1">
        <v>-660</v>
      </c>
      <c r="N38" s="1">
        <f>-1.05*(1000)</f>
        <v>-1050</v>
      </c>
      <c r="O38" s="1">
        <f>-1.65*(1000)</f>
        <v>-1650</v>
      </c>
      <c r="P38" s="1">
        <f>-2.6*(1000)</f>
        <v>-2600</v>
      </c>
      <c r="Q38" s="1">
        <f>-4.2*(1000)</f>
        <v>-4200</v>
      </c>
      <c r="R38" s="1">
        <f>-6.6*(1000)</f>
        <v>-6600</v>
      </c>
      <c r="S38" s="1">
        <f>-10.5*(1000)</f>
        <v>-10500</v>
      </c>
      <c r="T38" s="1">
        <f>-16.5*(1000)</f>
        <v>-16500</v>
      </c>
    </row>
    <row r="39" spans="1:20" ht="15.6" x14ac:dyDescent="0.3">
      <c r="A39" s="81">
        <v>1250</v>
      </c>
      <c r="B39" s="79">
        <v>1600</v>
      </c>
      <c r="C39" s="23">
        <v>0</v>
      </c>
      <c r="D39" s="23">
        <v>0</v>
      </c>
      <c r="E39" s="23">
        <v>0</v>
      </c>
      <c r="F39" s="23">
        <v>0</v>
      </c>
      <c r="G39" s="23">
        <v>0</v>
      </c>
      <c r="H39" s="23">
        <v>0</v>
      </c>
      <c r="I39" s="23">
        <v>0</v>
      </c>
      <c r="J39" s="23">
        <v>0</v>
      </c>
      <c r="K39" s="23">
        <v>0</v>
      </c>
      <c r="L39" s="23">
        <v>0</v>
      </c>
      <c r="M39" s="23">
        <v>0</v>
      </c>
      <c r="N39" s="23">
        <f t="shared" ref="N39:T39" si="17">0*(1000)</f>
        <v>0</v>
      </c>
      <c r="O39" s="23">
        <f t="shared" si="17"/>
        <v>0</v>
      </c>
      <c r="P39" s="23">
        <f t="shared" si="17"/>
        <v>0</v>
      </c>
      <c r="Q39" s="23">
        <f t="shared" si="17"/>
        <v>0</v>
      </c>
      <c r="R39" s="23">
        <f t="shared" si="17"/>
        <v>0</v>
      </c>
      <c r="S39" s="23">
        <f t="shared" si="17"/>
        <v>0</v>
      </c>
      <c r="T39" s="23">
        <f t="shared" si="17"/>
        <v>0</v>
      </c>
    </row>
    <row r="40" spans="1:20" ht="16.2" thickBot="1" x14ac:dyDescent="0.35">
      <c r="A40" s="82"/>
      <c r="B40" s="80"/>
      <c r="C40" s="1">
        <v>-15</v>
      </c>
      <c r="D40" s="1">
        <v>-21</v>
      </c>
      <c r="E40" s="1">
        <v>-29</v>
      </c>
      <c r="F40" s="1">
        <v>-39</v>
      </c>
      <c r="G40" s="1">
        <v>-55</v>
      </c>
      <c r="H40" s="1">
        <v>-78</v>
      </c>
      <c r="I40" s="1">
        <v>-125</v>
      </c>
      <c r="J40" s="1">
        <v>-195</v>
      </c>
      <c r="K40" s="1">
        <v>-310</v>
      </c>
      <c r="L40" s="1">
        <v>-500</v>
      </c>
      <c r="M40" s="1">
        <v>-780</v>
      </c>
      <c r="N40" s="1">
        <f>-1.25*(1000)</f>
        <v>-1250</v>
      </c>
      <c r="O40" s="1">
        <f>-1.95*(1000)</f>
        <v>-1950</v>
      </c>
      <c r="P40" s="1">
        <f>-3.1*(1000)</f>
        <v>-3100</v>
      </c>
      <c r="Q40" s="1">
        <f>-5*(1000)</f>
        <v>-5000</v>
      </c>
      <c r="R40" s="1">
        <f>-7.8*(1000)</f>
        <v>-7800</v>
      </c>
      <c r="S40" s="1">
        <f>-12.5*(1000)</f>
        <v>-12500</v>
      </c>
      <c r="T40" s="1">
        <f>-19.5*(1000)</f>
        <v>-19500</v>
      </c>
    </row>
    <row r="41" spans="1:20" ht="15.6" x14ac:dyDescent="0.3">
      <c r="A41" s="81">
        <v>1600</v>
      </c>
      <c r="B41" s="79">
        <v>2000</v>
      </c>
      <c r="C41" s="23">
        <v>0</v>
      </c>
      <c r="D41" s="23">
        <v>0</v>
      </c>
      <c r="E41" s="23">
        <v>0</v>
      </c>
      <c r="F41" s="23">
        <v>0</v>
      </c>
      <c r="G41" s="23">
        <v>0</v>
      </c>
      <c r="H41" s="23">
        <v>0</v>
      </c>
      <c r="I41" s="23">
        <v>0</v>
      </c>
      <c r="J41" s="23">
        <v>0</v>
      </c>
      <c r="K41" s="23">
        <v>0</v>
      </c>
      <c r="L41" s="23">
        <v>0</v>
      </c>
      <c r="M41" s="23">
        <v>0</v>
      </c>
      <c r="N41" s="23">
        <f t="shared" ref="N41:T41" si="18">0*(1000)</f>
        <v>0</v>
      </c>
      <c r="O41" s="23">
        <f t="shared" si="18"/>
        <v>0</v>
      </c>
      <c r="P41" s="23">
        <f t="shared" si="18"/>
        <v>0</v>
      </c>
      <c r="Q41" s="23">
        <f t="shared" si="18"/>
        <v>0</v>
      </c>
      <c r="R41" s="23">
        <f t="shared" si="18"/>
        <v>0</v>
      </c>
      <c r="S41" s="23">
        <f t="shared" si="18"/>
        <v>0</v>
      </c>
      <c r="T41" s="23">
        <f t="shared" si="18"/>
        <v>0</v>
      </c>
    </row>
    <row r="42" spans="1:20" ht="16.2" thickBot="1" x14ac:dyDescent="0.35">
      <c r="A42" s="82"/>
      <c r="B42" s="80"/>
      <c r="C42" s="1">
        <v>-18</v>
      </c>
      <c r="D42" s="1">
        <v>-25</v>
      </c>
      <c r="E42" s="1">
        <v>-35</v>
      </c>
      <c r="F42" s="1">
        <v>-46</v>
      </c>
      <c r="G42" s="1">
        <v>-65</v>
      </c>
      <c r="H42" s="1">
        <v>-92</v>
      </c>
      <c r="I42" s="1">
        <v>-150</v>
      </c>
      <c r="J42" s="1">
        <v>-230</v>
      </c>
      <c r="K42" s="1">
        <v>-370</v>
      </c>
      <c r="L42" s="1">
        <v>-600</v>
      </c>
      <c r="M42" s="1">
        <v>-920</v>
      </c>
      <c r="N42" s="1">
        <f>-1.5*(1000)</f>
        <v>-1500</v>
      </c>
      <c r="O42" s="1">
        <f>-2.3*(1000)</f>
        <v>-2300</v>
      </c>
      <c r="P42" s="1">
        <f>-3.7*(1000)</f>
        <v>-3700</v>
      </c>
      <c r="Q42" s="1">
        <f>-6*(1000)</f>
        <v>-6000</v>
      </c>
      <c r="R42" s="1">
        <f>-9.2*(1000)</f>
        <v>-9200</v>
      </c>
      <c r="S42" s="1">
        <f>-15*(1000)</f>
        <v>-15000</v>
      </c>
      <c r="T42" s="1">
        <f>-23*(1000)</f>
        <v>-23000</v>
      </c>
    </row>
    <row r="43" spans="1:20" ht="15.6" x14ac:dyDescent="0.3">
      <c r="A43" s="81">
        <v>2000</v>
      </c>
      <c r="B43" s="79">
        <v>2500</v>
      </c>
      <c r="C43" s="23">
        <v>0</v>
      </c>
      <c r="D43" s="23">
        <v>0</v>
      </c>
      <c r="E43" s="23">
        <v>0</v>
      </c>
      <c r="F43" s="23">
        <v>0</v>
      </c>
      <c r="G43" s="23">
        <v>0</v>
      </c>
      <c r="H43" s="23">
        <v>0</v>
      </c>
      <c r="I43" s="23">
        <v>0</v>
      </c>
      <c r="J43" s="23">
        <v>0</v>
      </c>
      <c r="K43" s="23">
        <v>0</v>
      </c>
      <c r="L43" s="23">
        <v>0</v>
      </c>
      <c r="M43" s="23">
        <v>0</v>
      </c>
      <c r="N43" s="23">
        <f t="shared" ref="N43:T43" si="19">0*(1000)</f>
        <v>0</v>
      </c>
      <c r="O43" s="23">
        <f t="shared" si="19"/>
        <v>0</v>
      </c>
      <c r="P43" s="23">
        <f t="shared" si="19"/>
        <v>0</v>
      </c>
      <c r="Q43" s="23">
        <f t="shared" si="19"/>
        <v>0</v>
      </c>
      <c r="R43" s="23">
        <f t="shared" si="19"/>
        <v>0</v>
      </c>
      <c r="S43" s="23">
        <f t="shared" si="19"/>
        <v>0</v>
      </c>
      <c r="T43" s="23">
        <f t="shared" si="19"/>
        <v>0</v>
      </c>
    </row>
    <row r="44" spans="1:20" ht="16.2" thickBot="1" x14ac:dyDescent="0.35">
      <c r="A44" s="82"/>
      <c r="B44" s="80"/>
      <c r="C44" s="1">
        <v>-22</v>
      </c>
      <c r="D44" s="1">
        <v>-30</v>
      </c>
      <c r="E44" s="1">
        <v>-41</v>
      </c>
      <c r="F44" s="1">
        <v>-55</v>
      </c>
      <c r="G44" s="1">
        <v>-78</v>
      </c>
      <c r="H44" s="1">
        <v>-110</v>
      </c>
      <c r="I44" s="1">
        <v>-175</v>
      </c>
      <c r="J44" s="1">
        <v>-280</v>
      </c>
      <c r="K44" s="1">
        <v>-440</v>
      </c>
      <c r="L44" s="1">
        <v>-700</v>
      </c>
      <c r="M44" s="28">
        <v>-1100</v>
      </c>
      <c r="N44" s="1">
        <f>-1.75*(1000)</f>
        <v>-1750</v>
      </c>
      <c r="O44" s="1">
        <f>-2.8*(1000)</f>
        <v>-2800</v>
      </c>
      <c r="P44" s="1">
        <f>-4.4*(1000)</f>
        <v>-4400</v>
      </c>
      <c r="Q44" s="1">
        <f>-7*(1000)</f>
        <v>-7000</v>
      </c>
      <c r="R44" s="1">
        <f>-11*(1000)</f>
        <v>-11000</v>
      </c>
      <c r="S44" s="1">
        <f>-17.5*(1000)</f>
        <v>-17500</v>
      </c>
      <c r="T44" s="1">
        <f>-28*(1000)</f>
        <v>-28000</v>
      </c>
    </row>
    <row r="45" spans="1:20" ht="15.6" x14ac:dyDescent="0.3">
      <c r="A45" s="81">
        <v>2500</v>
      </c>
      <c r="B45" s="79">
        <v>3150</v>
      </c>
      <c r="C45" s="23">
        <v>0</v>
      </c>
      <c r="D45" s="23">
        <v>0</v>
      </c>
      <c r="E45" s="23">
        <v>0</v>
      </c>
      <c r="F45" s="23">
        <v>0</v>
      </c>
      <c r="G45" s="23">
        <v>0</v>
      </c>
      <c r="H45" s="23">
        <v>0</v>
      </c>
      <c r="I45" s="23">
        <v>0</v>
      </c>
      <c r="J45" s="23">
        <v>0</v>
      </c>
      <c r="K45" s="23">
        <v>0</v>
      </c>
      <c r="L45" s="23">
        <v>0</v>
      </c>
      <c r="M45" s="23">
        <v>0</v>
      </c>
      <c r="N45" s="23">
        <f t="shared" ref="N45:T45" si="20">0*(1000)</f>
        <v>0</v>
      </c>
      <c r="O45" s="23">
        <f t="shared" si="20"/>
        <v>0</v>
      </c>
      <c r="P45" s="23">
        <f t="shared" si="20"/>
        <v>0</v>
      </c>
      <c r="Q45" s="23">
        <f t="shared" si="20"/>
        <v>0</v>
      </c>
      <c r="R45" s="23">
        <f t="shared" si="20"/>
        <v>0</v>
      </c>
      <c r="S45" s="23">
        <f t="shared" si="20"/>
        <v>0</v>
      </c>
      <c r="T45" s="23">
        <f t="shared" si="20"/>
        <v>0</v>
      </c>
    </row>
    <row r="46" spans="1:20" ht="16.2" thickBot="1" x14ac:dyDescent="0.35">
      <c r="A46" s="82"/>
      <c r="B46" s="80"/>
      <c r="C46" s="1">
        <v>-26</v>
      </c>
      <c r="D46" s="1">
        <v>-36</v>
      </c>
      <c r="E46" s="1">
        <v>-50</v>
      </c>
      <c r="F46" s="1">
        <v>-68</v>
      </c>
      <c r="G46" s="1">
        <v>-96</v>
      </c>
      <c r="H46" s="1">
        <v>-135</v>
      </c>
      <c r="I46" s="1">
        <v>-210</v>
      </c>
      <c r="J46" s="1">
        <v>-330</v>
      </c>
      <c r="K46" s="1">
        <v>-540</v>
      </c>
      <c r="L46" s="1">
        <v>-860</v>
      </c>
      <c r="M46" s="28">
        <v>-1350</v>
      </c>
      <c r="N46" s="1">
        <f>-2.1*(1000)</f>
        <v>-2100</v>
      </c>
      <c r="O46" s="1">
        <f>-3.3*(1000)</f>
        <v>-3300</v>
      </c>
      <c r="P46" s="1">
        <f>-5.4*(1000)</f>
        <v>-5400</v>
      </c>
      <c r="Q46" s="1">
        <f>-8.6*(1000)</f>
        <v>-8600</v>
      </c>
      <c r="R46" s="1">
        <f>-13.5*(1000)</f>
        <v>-13500</v>
      </c>
      <c r="S46" s="1">
        <f>-21*(1000)</f>
        <v>-21000</v>
      </c>
      <c r="T46" s="1">
        <f>-33*(1000)</f>
        <v>-33000</v>
      </c>
    </row>
    <row r="47" spans="1:20" ht="16.2" thickBot="1" x14ac:dyDescent="0.35">
      <c r="A47" s="83" t="s">
        <v>22</v>
      </c>
      <c r="B47" s="84"/>
      <c r="C47" s="84"/>
      <c r="D47" s="84"/>
      <c r="E47" s="84"/>
      <c r="F47" s="84"/>
      <c r="G47" s="84"/>
      <c r="H47" s="84"/>
      <c r="I47" s="84"/>
      <c r="J47" s="84"/>
      <c r="K47" s="84"/>
      <c r="L47" s="84"/>
      <c r="M47" s="84"/>
      <c r="N47" s="84"/>
      <c r="O47" s="84"/>
      <c r="P47" s="84"/>
      <c r="Q47" s="84"/>
      <c r="R47" s="84"/>
      <c r="S47" s="84"/>
      <c r="T47" s="85"/>
    </row>
    <row r="48" spans="1:20" ht="15.6" thickTop="1" x14ac:dyDescent="0.3"/>
  </sheetData>
  <mergeCells count="49">
    <mergeCell ref="A47:T47"/>
    <mergeCell ref="C4:T4"/>
    <mergeCell ref="A41:A42"/>
    <mergeCell ref="B41:B42"/>
    <mergeCell ref="A43:A44"/>
    <mergeCell ref="B43:B44"/>
    <mergeCell ref="A45:A46"/>
    <mergeCell ref="B45:B46"/>
    <mergeCell ref="A35:A36"/>
    <mergeCell ref="B35:B36"/>
    <mergeCell ref="A37:A38"/>
    <mergeCell ref="B37:B38"/>
    <mergeCell ref="A39:A40"/>
    <mergeCell ref="B39:B40"/>
    <mergeCell ref="A29:A30"/>
    <mergeCell ref="B29:B30"/>
    <mergeCell ref="A31:A32"/>
    <mergeCell ref="B31:B32"/>
    <mergeCell ref="A33:A34"/>
    <mergeCell ref="B33:B34"/>
    <mergeCell ref="A23:A24"/>
    <mergeCell ref="B23:B24"/>
    <mergeCell ref="A25:A26"/>
    <mergeCell ref="B25:B26"/>
    <mergeCell ref="A27:A28"/>
    <mergeCell ref="B27:B28"/>
    <mergeCell ref="A17:A18"/>
    <mergeCell ref="B17:B18"/>
    <mergeCell ref="A19:A20"/>
    <mergeCell ref="B19:B20"/>
    <mergeCell ref="A21:A22"/>
    <mergeCell ref="B21:B22"/>
    <mergeCell ref="A11:A12"/>
    <mergeCell ref="B11:B12"/>
    <mergeCell ref="A13:A14"/>
    <mergeCell ref="B13:B14"/>
    <mergeCell ref="A15:A16"/>
    <mergeCell ref="B15:B16"/>
    <mergeCell ref="A5:A6"/>
    <mergeCell ref="A7:A8"/>
    <mergeCell ref="B7:B8"/>
    <mergeCell ref="A9:A10"/>
    <mergeCell ref="B9:B10"/>
    <mergeCell ref="A1:B1"/>
    <mergeCell ref="A2:B2"/>
    <mergeCell ref="C1:T1"/>
    <mergeCell ref="A3:A4"/>
    <mergeCell ref="B3:B4"/>
    <mergeCell ref="C3:T3"/>
  </mergeCells>
  <phoneticPr fontId="7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D1938-4F0A-4564-A467-369295D1D412}">
  <dimension ref="A1:AM49"/>
  <sheetViews>
    <sheetView topLeftCell="A35" workbookViewId="0">
      <selection activeCell="A48" sqref="A48:T49"/>
    </sheetView>
  </sheetViews>
  <sheetFormatPr defaultRowHeight="15" x14ac:dyDescent="0.3"/>
  <cols>
    <col min="1" max="16384" width="9" style="29"/>
  </cols>
  <sheetData>
    <row r="1" spans="1:39" ht="17.399999999999999" customHeight="1" thickTop="1" thickBot="1" x14ac:dyDescent="0.35">
      <c r="A1" s="106" t="s">
        <v>23</v>
      </c>
      <c r="B1" s="86"/>
      <c r="C1" s="98" t="s">
        <v>28</v>
      </c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100"/>
    </row>
    <row r="2" spans="1:39" ht="16.2" thickBot="1" x14ac:dyDescent="0.35">
      <c r="A2" s="61" t="s">
        <v>1</v>
      </c>
      <c r="B2" s="62"/>
      <c r="C2" s="2">
        <v>1</v>
      </c>
      <c r="D2" s="2">
        <v>2</v>
      </c>
      <c r="E2" s="2">
        <v>3</v>
      </c>
      <c r="F2" s="2">
        <v>4</v>
      </c>
      <c r="G2" s="2">
        <v>5</v>
      </c>
      <c r="H2" s="2">
        <v>6</v>
      </c>
      <c r="I2" s="2">
        <v>7</v>
      </c>
      <c r="J2" s="2">
        <v>8</v>
      </c>
      <c r="K2" s="2">
        <v>9</v>
      </c>
      <c r="L2" s="2">
        <v>10</v>
      </c>
      <c r="M2" s="2">
        <v>11</v>
      </c>
      <c r="N2" s="2">
        <v>12</v>
      </c>
      <c r="O2" s="2">
        <v>13</v>
      </c>
      <c r="P2" s="2">
        <v>14</v>
      </c>
      <c r="Q2" s="2">
        <v>15</v>
      </c>
      <c r="R2" s="2">
        <v>16</v>
      </c>
      <c r="S2" s="2">
        <v>17</v>
      </c>
      <c r="T2" s="3">
        <v>18</v>
      </c>
    </row>
    <row r="3" spans="1:39" ht="15.6" x14ac:dyDescent="0.3">
      <c r="A3" s="107" t="s">
        <v>24</v>
      </c>
      <c r="B3" s="109" t="s">
        <v>25</v>
      </c>
      <c r="C3" s="111" t="s">
        <v>26</v>
      </c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T3" s="113"/>
    </row>
    <row r="4" spans="1:39" ht="16.2" thickBot="1" x14ac:dyDescent="0.35">
      <c r="A4" s="108"/>
      <c r="B4" s="110"/>
      <c r="C4" s="70" t="s">
        <v>20</v>
      </c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2"/>
    </row>
    <row r="5" spans="1:39" ht="16.2" thickBot="1" x14ac:dyDescent="0.35">
      <c r="A5" s="47" t="s">
        <v>27</v>
      </c>
      <c r="B5" s="49" t="s">
        <v>21</v>
      </c>
      <c r="C5" s="37">
        <v>0.4</v>
      </c>
      <c r="D5" s="37">
        <f>(1.2)/(2)</f>
        <v>0.6</v>
      </c>
      <c r="E5" s="37">
        <f>(2)/(2)</f>
        <v>1</v>
      </c>
      <c r="F5" s="37">
        <f>(3)/(2)</f>
        <v>1.5</v>
      </c>
      <c r="G5" s="37">
        <f>(4)/(2)</f>
        <v>2</v>
      </c>
      <c r="H5" s="37">
        <f>(6)/(2)</f>
        <v>3</v>
      </c>
      <c r="I5" s="37">
        <f>(10)/(2)</f>
        <v>5</v>
      </c>
      <c r="J5" s="37">
        <f>(14)/(2)</f>
        <v>7</v>
      </c>
      <c r="K5" s="37">
        <f>(25)/(2)</f>
        <v>12.5</v>
      </c>
      <c r="L5" s="37">
        <f>(40)/(2)</f>
        <v>20</v>
      </c>
      <c r="M5" s="37">
        <f>(60)/(2)</f>
        <v>30</v>
      </c>
      <c r="N5" s="37">
        <f>((0.1)*(1000))/(2)</f>
        <v>50</v>
      </c>
      <c r="O5" s="37">
        <f>((0.14)*(1000))/(2)</f>
        <v>70</v>
      </c>
      <c r="P5" s="37">
        <f>((0.25)*(1000))/(2)</f>
        <v>125</v>
      </c>
      <c r="Q5" s="37">
        <f>((0.4)*(1000))/(2)</f>
        <v>200</v>
      </c>
      <c r="R5" s="37">
        <f>((0.6)*(1000))/(2)</f>
        <v>300</v>
      </c>
      <c r="S5" s="37">
        <f>((1)*(1000))/(2)</f>
        <v>500</v>
      </c>
      <c r="T5" s="37">
        <f>((1.4)*(1000))/(2)</f>
        <v>700</v>
      </c>
      <c r="AM5" s="18"/>
    </row>
    <row r="6" spans="1:39" ht="16.2" thickBot="1" x14ac:dyDescent="0.35">
      <c r="A6" s="48"/>
      <c r="B6" s="50"/>
      <c r="C6" s="37">
        <f>((0.8)/(2))*(-1)</f>
        <v>-0.4</v>
      </c>
      <c r="D6" s="37">
        <f>((1.2)/(2))*(-1)</f>
        <v>-0.6</v>
      </c>
      <c r="E6" s="37">
        <f>((2)/(2))*(-1)</f>
        <v>-1</v>
      </c>
      <c r="F6" s="37">
        <f>((3)/(2))*(-1)</f>
        <v>-1.5</v>
      </c>
      <c r="G6" s="37">
        <f>((4)/(2))*(-1)</f>
        <v>-2</v>
      </c>
      <c r="H6" s="37">
        <f>((6)/(2))*(-1)</f>
        <v>-3</v>
      </c>
      <c r="I6" s="37">
        <f>((10)/(2))*(-1)</f>
        <v>-5</v>
      </c>
      <c r="J6" s="37">
        <f>((14)/(2))*(-1)</f>
        <v>-7</v>
      </c>
      <c r="K6" s="37">
        <f>((25)/(2))*(-1)</f>
        <v>-12.5</v>
      </c>
      <c r="L6" s="37">
        <f>((40)/(2))*(-1)</f>
        <v>-20</v>
      </c>
      <c r="M6" s="37">
        <f>((60)/(2))*(-1)</f>
        <v>-30</v>
      </c>
      <c r="N6" s="37">
        <f>(((0.1)*(1000))/(2))*(-1)</f>
        <v>-50</v>
      </c>
      <c r="O6" s="37">
        <f>(((0.14)*(1000))/(2))*(-1)</f>
        <v>-70</v>
      </c>
      <c r="P6" s="37">
        <f>(((0.25)*(1000))/(2))*(-1)</f>
        <v>-125</v>
      </c>
      <c r="Q6" s="37">
        <f>(((0.4)*(1000))/(2))*(-1)</f>
        <v>-200</v>
      </c>
      <c r="R6" s="37">
        <f>(((0.6)*(1000))/(2))*(-1)</f>
        <v>-300</v>
      </c>
      <c r="S6" s="37">
        <f>(((1)*(1000))/(2))*(-1)</f>
        <v>-500</v>
      </c>
      <c r="T6" s="37">
        <f>(((1.4)*(1000))/(2))*(-1)</f>
        <v>-700</v>
      </c>
      <c r="AM6" s="18"/>
    </row>
    <row r="7" spans="1:39" ht="16.2" thickBot="1" x14ac:dyDescent="0.35">
      <c r="A7" s="47">
        <v>3</v>
      </c>
      <c r="B7" s="49">
        <v>6</v>
      </c>
      <c r="C7" s="37">
        <f>(1)/(2)</f>
        <v>0.5</v>
      </c>
      <c r="D7" s="37">
        <f>(1.5)/(2)</f>
        <v>0.75</v>
      </c>
      <c r="E7" s="37">
        <f>(2.5)/(2)</f>
        <v>1.25</v>
      </c>
      <c r="F7" s="37">
        <f>(4)/(2)</f>
        <v>2</v>
      </c>
      <c r="G7" s="37">
        <f>(5)/(2)</f>
        <v>2.5</v>
      </c>
      <c r="H7" s="37">
        <f>(8)/(2)</f>
        <v>4</v>
      </c>
      <c r="I7" s="37">
        <f>(12)/(2)</f>
        <v>6</v>
      </c>
      <c r="J7" s="37">
        <f>(18)/(2)</f>
        <v>9</v>
      </c>
      <c r="K7" s="37">
        <f>(30)/(2)</f>
        <v>15</v>
      </c>
      <c r="L7" s="37">
        <f>(48)/(2)</f>
        <v>24</v>
      </c>
      <c r="M7" s="37">
        <f>(75)/(2)</f>
        <v>37.5</v>
      </c>
      <c r="N7" s="37">
        <f>((0.12)*(1000))/(2)</f>
        <v>60</v>
      </c>
      <c r="O7" s="37">
        <f>((0.18)*(1000))/(2)</f>
        <v>90</v>
      </c>
      <c r="P7" s="37">
        <f>((0.3)*(1000))/(2)</f>
        <v>150</v>
      </c>
      <c r="Q7" s="37">
        <f>((0.48)*(1000))/(2)</f>
        <v>240</v>
      </c>
      <c r="R7" s="37">
        <f>((0.75)*(1000))/(2)</f>
        <v>375</v>
      </c>
      <c r="S7" s="37">
        <f>((1.2)*(1000))/(2)</f>
        <v>600</v>
      </c>
      <c r="T7" s="37">
        <f>((1.8)*(1000))/(2)</f>
        <v>900</v>
      </c>
      <c r="AM7" s="18"/>
    </row>
    <row r="8" spans="1:39" ht="16.2" thickBot="1" x14ac:dyDescent="0.35">
      <c r="A8" s="48"/>
      <c r="B8" s="50"/>
      <c r="C8" s="37">
        <f>((1)/(2))*(-1)</f>
        <v>-0.5</v>
      </c>
      <c r="D8" s="37">
        <f>((1.5)/(2))*(-1)</f>
        <v>-0.75</v>
      </c>
      <c r="E8" s="37">
        <f>((2.5)/(2))*(-1)</f>
        <v>-1.25</v>
      </c>
      <c r="F8" s="37">
        <f>((4)/(2))*(-1)</f>
        <v>-2</v>
      </c>
      <c r="G8" s="37">
        <f>((5)/(2))*(-1)</f>
        <v>-2.5</v>
      </c>
      <c r="H8" s="37">
        <f>((8)/(2))*(-1)</f>
        <v>-4</v>
      </c>
      <c r="I8" s="37">
        <f>((12)/(2))*(-1)</f>
        <v>-6</v>
      </c>
      <c r="J8" s="37">
        <f>((18)/(2))*(-1)</f>
        <v>-9</v>
      </c>
      <c r="K8" s="37">
        <f>((30)/(2))*(-1)</f>
        <v>-15</v>
      </c>
      <c r="L8" s="37">
        <f>((48)/(2))*(-1)</f>
        <v>-24</v>
      </c>
      <c r="M8" s="37">
        <f>((75)/(2))*(-1)</f>
        <v>-37.5</v>
      </c>
      <c r="N8" s="37">
        <f>(((0.12)*(1000))/(2))*(-1)</f>
        <v>-60</v>
      </c>
      <c r="O8" s="37">
        <f>(((0.18)*(1000))/(2))*(-1)</f>
        <v>-90</v>
      </c>
      <c r="P8" s="37">
        <f>(((0.3)*(1000))/(2))*(-1)</f>
        <v>-150</v>
      </c>
      <c r="Q8" s="37">
        <f>(((0.48)*(1000))/(2))*(-1)</f>
        <v>-240</v>
      </c>
      <c r="R8" s="37">
        <f>(((0.75)*(1000))/(2))*(-1)</f>
        <v>-375</v>
      </c>
      <c r="S8" s="37">
        <f>(((1.2)*(1000))/(2))*(-1)</f>
        <v>-600</v>
      </c>
      <c r="T8" s="37">
        <f>(((1.8)*(1000))/(2))*(-1)</f>
        <v>-900</v>
      </c>
      <c r="AM8" s="18"/>
    </row>
    <row r="9" spans="1:39" ht="16.2" thickBot="1" x14ac:dyDescent="0.35">
      <c r="A9" s="47">
        <v>6</v>
      </c>
      <c r="B9" s="49">
        <v>10</v>
      </c>
      <c r="C9" s="37">
        <f t="shared" ref="C9" si="0">(1)/(2)</f>
        <v>0.5</v>
      </c>
      <c r="D9" s="37">
        <f t="shared" ref="D9" si="1">(1.5)/(2)</f>
        <v>0.75</v>
      </c>
      <c r="E9" s="37">
        <f t="shared" ref="E9" si="2">(2.5)/(2)</f>
        <v>1.25</v>
      </c>
      <c r="F9" s="37">
        <f t="shared" ref="F9" si="3">(4)/(2)</f>
        <v>2</v>
      </c>
      <c r="G9" s="37">
        <f t="shared" ref="G9" si="4">(6)/(2)</f>
        <v>3</v>
      </c>
      <c r="H9" s="37">
        <f t="shared" ref="H9" si="5">(9)/(2)</f>
        <v>4.5</v>
      </c>
      <c r="I9" s="37">
        <f t="shared" ref="I9" si="6">(15)/(2)</f>
        <v>7.5</v>
      </c>
      <c r="J9" s="37">
        <f t="shared" ref="J9" si="7">(22)/(2)</f>
        <v>11</v>
      </c>
      <c r="K9" s="37">
        <f t="shared" ref="K9" si="8">(36)/(2)</f>
        <v>18</v>
      </c>
      <c r="L9" s="37">
        <f t="shared" ref="L9" si="9">(58)/(2)</f>
        <v>29</v>
      </c>
      <c r="M9" s="37">
        <f t="shared" ref="M9" si="10">(90)/(2)</f>
        <v>45</v>
      </c>
      <c r="N9" s="37">
        <f t="shared" ref="N9" si="11">((0.15)*(1000))/(2)</f>
        <v>75</v>
      </c>
      <c r="O9" s="37">
        <f t="shared" ref="O9" si="12">((0.22)*(1000))/(2)</f>
        <v>110</v>
      </c>
      <c r="P9" s="37">
        <f t="shared" ref="P9" si="13">((0.36)*(1000))/(2)</f>
        <v>180</v>
      </c>
      <c r="Q9" s="37">
        <f t="shared" ref="Q9" si="14">((0.58)*(1000))/(2)</f>
        <v>290</v>
      </c>
      <c r="R9" s="37">
        <f t="shared" ref="R9" si="15">((0.9)*(1000))/(2)</f>
        <v>450</v>
      </c>
      <c r="S9" s="37">
        <f t="shared" ref="S9" si="16">((1.5)*(1000))/(2)</f>
        <v>750</v>
      </c>
      <c r="T9" s="37">
        <f t="shared" ref="T9" si="17">((2.2)*(1000))/(2)</f>
        <v>1100</v>
      </c>
      <c r="AM9" s="18"/>
    </row>
    <row r="10" spans="1:39" ht="16.2" thickBot="1" x14ac:dyDescent="0.35">
      <c r="A10" s="48"/>
      <c r="B10" s="50"/>
      <c r="C10" s="37">
        <f>((1)/(2))*(-1)</f>
        <v>-0.5</v>
      </c>
      <c r="D10" s="37">
        <f>((1.5)/(2))*(-1)</f>
        <v>-0.75</v>
      </c>
      <c r="E10" s="37">
        <f>((2.5)/(2))*(-1)</f>
        <v>-1.25</v>
      </c>
      <c r="F10" s="37">
        <f>((4)/(2))*(-1)</f>
        <v>-2</v>
      </c>
      <c r="G10" s="37">
        <f>((6)/(2))*(-1)</f>
        <v>-3</v>
      </c>
      <c r="H10" s="37">
        <f>((9)/(2))*(-1)</f>
        <v>-4.5</v>
      </c>
      <c r="I10" s="37">
        <f>((15)/(2))*(-1)</f>
        <v>-7.5</v>
      </c>
      <c r="J10" s="37">
        <f>((22)/(2))*(-1)</f>
        <v>-11</v>
      </c>
      <c r="K10" s="37">
        <f>((36)/(2))*(-1)</f>
        <v>-18</v>
      </c>
      <c r="L10" s="37">
        <f>((58)/(2))*(-1)</f>
        <v>-29</v>
      </c>
      <c r="M10" s="37">
        <f>((90)/(2))*(-1)</f>
        <v>-45</v>
      </c>
      <c r="N10" s="37">
        <f>(((0.15)*(1000))/(2))*(-1)</f>
        <v>-75</v>
      </c>
      <c r="O10" s="37">
        <f>(((0.22)*(1000))/(2))*(-1)</f>
        <v>-110</v>
      </c>
      <c r="P10" s="37">
        <f>(((0.36)*(1000))/(2))*(-1)</f>
        <v>-180</v>
      </c>
      <c r="Q10" s="37">
        <f>(((0.58)*(1000))/(2))*(-1)</f>
        <v>-290</v>
      </c>
      <c r="R10" s="37">
        <f>(((0.9)*(1000))/(2))*(-1)</f>
        <v>-450</v>
      </c>
      <c r="S10" s="37">
        <f>(((1.5)*(1000))/(2))*(-1)</f>
        <v>-750</v>
      </c>
      <c r="T10" s="37">
        <f>(((2.2)*(1000))/(2))*(-1)</f>
        <v>-1100</v>
      </c>
      <c r="AM10" s="18"/>
    </row>
    <row r="11" spans="1:39" ht="16.2" thickBot="1" x14ac:dyDescent="0.35">
      <c r="A11" s="47">
        <v>10</v>
      </c>
      <c r="B11" s="49">
        <v>18</v>
      </c>
      <c r="C11" s="37">
        <f t="shared" ref="C11" si="18">(1.2)/(2)</f>
        <v>0.6</v>
      </c>
      <c r="D11" s="37">
        <f t="shared" ref="D11" si="19">(2)/(2)</f>
        <v>1</v>
      </c>
      <c r="E11" s="37">
        <f t="shared" ref="E11" si="20">(3)/(2)</f>
        <v>1.5</v>
      </c>
      <c r="F11" s="37">
        <f t="shared" ref="F11" si="21">(5)/(2)</f>
        <v>2.5</v>
      </c>
      <c r="G11" s="37">
        <f t="shared" ref="G11" si="22">(8)/(2)</f>
        <v>4</v>
      </c>
      <c r="H11" s="37">
        <f t="shared" ref="H11" si="23">(11)/(2)</f>
        <v>5.5</v>
      </c>
      <c r="I11" s="37">
        <f t="shared" ref="I11" si="24">(18)/(2)</f>
        <v>9</v>
      </c>
      <c r="J11" s="37">
        <f t="shared" ref="J11" si="25">(27)/(2)</f>
        <v>13.5</v>
      </c>
      <c r="K11" s="37">
        <f t="shared" ref="K11" si="26">(43)/(2)</f>
        <v>21.5</v>
      </c>
      <c r="L11" s="37">
        <f t="shared" ref="L11" si="27">(70)/(2)</f>
        <v>35</v>
      </c>
      <c r="M11" s="37">
        <f t="shared" ref="M11" si="28">(110)/(2)</f>
        <v>55</v>
      </c>
      <c r="N11" s="37">
        <f t="shared" ref="N11" si="29">((0.18)*(1000))/(2)</f>
        <v>90</v>
      </c>
      <c r="O11" s="37">
        <f t="shared" ref="O11" si="30">((0.27)*(1000))/(2)</f>
        <v>135</v>
      </c>
      <c r="P11" s="37">
        <f t="shared" ref="P11" si="31">((0.43)*(1000))/(2)</f>
        <v>215</v>
      </c>
      <c r="Q11" s="37">
        <f t="shared" ref="Q11" si="32">((0.7)*(1000))/(2)</f>
        <v>350</v>
      </c>
      <c r="R11" s="37">
        <f t="shared" ref="R11" si="33">((1.1)*(1000))/(2)</f>
        <v>550</v>
      </c>
      <c r="S11" s="37">
        <f t="shared" ref="S11" si="34">((1.8)*(1000))/(2)</f>
        <v>900</v>
      </c>
      <c r="T11" s="37">
        <f t="shared" ref="T11" si="35">((2.7)*(1000))/(2)</f>
        <v>1350</v>
      </c>
      <c r="AM11" s="18"/>
    </row>
    <row r="12" spans="1:39" ht="16.2" thickBot="1" x14ac:dyDescent="0.35">
      <c r="A12" s="48"/>
      <c r="B12" s="50"/>
      <c r="C12" s="37">
        <f>((1.2)/(2))*(-1)</f>
        <v>-0.6</v>
      </c>
      <c r="D12" s="37">
        <f>((2)/(2))*(-1)</f>
        <v>-1</v>
      </c>
      <c r="E12" s="37">
        <f>((3)/(2))*(-1)</f>
        <v>-1.5</v>
      </c>
      <c r="F12" s="37">
        <f>((5)/(2))*(-1)</f>
        <v>-2.5</v>
      </c>
      <c r="G12" s="37">
        <f>((8)/(2))*(-1)</f>
        <v>-4</v>
      </c>
      <c r="H12" s="37">
        <f>((11)/(2))*(-1)</f>
        <v>-5.5</v>
      </c>
      <c r="I12" s="37">
        <f>((18)/(2))*(-1)</f>
        <v>-9</v>
      </c>
      <c r="J12" s="37">
        <f>((27)/(2))*(-1)</f>
        <v>-13.5</v>
      </c>
      <c r="K12" s="37">
        <f>((43)/(2))*(-1)</f>
        <v>-21.5</v>
      </c>
      <c r="L12" s="37">
        <f>((70)/(2))*(-1)</f>
        <v>-35</v>
      </c>
      <c r="M12" s="37">
        <f>((110)/(2))*(-1)</f>
        <v>-55</v>
      </c>
      <c r="N12" s="37">
        <f>(((0.18)*(1000))/(2))*(-1)</f>
        <v>-90</v>
      </c>
      <c r="O12" s="37">
        <f>(((0.27)*(1000))/(2))*(-1)</f>
        <v>-135</v>
      </c>
      <c r="P12" s="37">
        <f>(((0.43)*(1000))/(2))*(-1)</f>
        <v>-215</v>
      </c>
      <c r="Q12" s="37">
        <f>(((0.7)*(1000))/(2))*(-1)</f>
        <v>-350</v>
      </c>
      <c r="R12" s="37">
        <f>(((1.1)*(1000))/(2))*(-1)</f>
        <v>-550</v>
      </c>
      <c r="S12" s="37">
        <f>(((1.8)*(1000))/(2))*(-1)</f>
        <v>-900</v>
      </c>
      <c r="T12" s="37">
        <f>(((2.7)*(1000))/(2))*(-1)</f>
        <v>-1350</v>
      </c>
      <c r="AM12" s="18"/>
    </row>
    <row r="13" spans="1:39" ht="16.2" thickBot="1" x14ac:dyDescent="0.35">
      <c r="A13" s="47">
        <v>18</v>
      </c>
      <c r="B13" s="49">
        <v>30</v>
      </c>
      <c r="C13" s="37">
        <f t="shared" ref="C13:C15" si="36">(1.5)/(2)</f>
        <v>0.75</v>
      </c>
      <c r="D13" s="37">
        <f t="shared" ref="D13:D15" si="37">(2.5)/(2)</f>
        <v>1.25</v>
      </c>
      <c r="E13" s="37">
        <f t="shared" ref="E13:E15" si="38">(4)/(2)</f>
        <v>2</v>
      </c>
      <c r="F13" s="37">
        <f t="shared" ref="F13" si="39">(6)/(2)</f>
        <v>3</v>
      </c>
      <c r="G13" s="37">
        <f t="shared" ref="G13" si="40">(9)/(2)</f>
        <v>4.5</v>
      </c>
      <c r="H13" s="37">
        <f t="shared" ref="H13" si="41">(13)/(2)</f>
        <v>6.5</v>
      </c>
      <c r="I13" s="37">
        <f t="shared" ref="I13" si="42">(21)/(2)</f>
        <v>10.5</v>
      </c>
      <c r="J13" s="37">
        <f t="shared" ref="J13" si="43">(33)/(2)</f>
        <v>16.5</v>
      </c>
      <c r="K13" s="37">
        <f t="shared" ref="K13" si="44">(52)/(2)</f>
        <v>26</v>
      </c>
      <c r="L13" s="37">
        <f t="shared" ref="L13" si="45">(84)/(2)</f>
        <v>42</v>
      </c>
      <c r="M13" s="37">
        <f t="shared" ref="M13" si="46">(130)/(2)</f>
        <v>65</v>
      </c>
      <c r="N13" s="37">
        <f t="shared" ref="N13" si="47">((0.21)*(1000))/(2)</f>
        <v>105</v>
      </c>
      <c r="O13" s="37">
        <f t="shared" ref="O13" si="48">((0.33)*(1000))/(2)</f>
        <v>165</v>
      </c>
      <c r="P13" s="37">
        <f t="shared" ref="P13" si="49">((0.52)*(1000))/(2)</f>
        <v>260</v>
      </c>
      <c r="Q13" s="37">
        <f t="shared" ref="Q13" si="50">((0.84)*(1000))/(2)</f>
        <v>420</v>
      </c>
      <c r="R13" s="37">
        <f t="shared" ref="R13" si="51">((1.3)*(1000))/(2)</f>
        <v>650</v>
      </c>
      <c r="S13" s="37">
        <f t="shared" ref="S13" si="52">((2.1)*(1000))/(2)</f>
        <v>1050</v>
      </c>
      <c r="T13" s="37">
        <f t="shared" ref="T13" si="53">((3.3)*(1000))/(2)</f>
        <v>1650</v>
      </c>
      <c r="AM13" s="18"/>
    </row>
    <row r="14" spans="1:39" ht="16.2" thickBot="1" x14ac:dyDescent="0.35">
      <c r="A14" s="48"/>
      <c r="B14" s="50"/>
      <c r="C14" s="37">
        <f>((1.5)/(2))*(-1)</f>
        <v>-0.75</v>
      </c>
      <c r="D14" s="37">
        <f>((2.5)/(2))*(-1)</f>
        <v>-1.25</v>
      </c>
      <c r="E14" s="37">
        <f>((4)/(2))*(-1)</f>
        <v>-2</v>
      </c>
      <c r="F14" s="37">
        <f>((6)/(2))*(-1)</f>
        <v>-3</v>
      </c>
      <c r="G14" s="37">
        <f>((9)/(2))*(-1)</f>
        <v>-4.5</v>
      </c>
      <c r="H14" s="37">
        <f>((13)/(2))*(-1)</f>
        <v>-6.5</v>
      </c>
      <c r="I14" s="37">
        <f>((21)/(2))*(-1)</f>
        <v>-10.5</v>
      </c>
      <c r="J14" s="37">
        <f>((33)/(2))*(-1)</f>
        <v>-16.5</v>
      </c>
      <c r="K14" s="37">
        <f>((52)/(2))*(-1)</f>
        <v>-26</v>
      </c>
      <c r="L14" s="37">
        <f>((84)/(2))*(-1)</f>
        <v>-42</v>
      </c>
      <c r="M14" s="37">
        <f>((130)/(2))*(-1)</f>
        <v>-65</v>
      </c>
      <c r="N14" s="37">
        <f>(((0.21)*(1000))/(2))*(-1)</f>
        <v>-105</v>
      </c>
      <c r="O14" s="37">
        <f>(((0.33)*(1000))/(2))*(-1)</f>
        <v>-165</v>
      </c>
      <c r="P14" s="37">
        <f>(((0.52)*(1000))/(2))*(-1)</f>
        <v>-260</v>
      </c>
      <c r="Q14" s="37">
        <f>(((0.84)*(1000))/(2))*(-1)</f>
        <v>-420</v>
      </c>
      <c r="R14" s="37">
        <f>(((1.3)*(1000))/(2))*(-1)</f>
        <v>-650</v>
      </c>
      <c r="S14" s="37">
        <f>(((2.1)*(1000))/(2))*(-1)</f>
        <v>-1050</v>
      </c>
      <c r="T14" s="37">
        <f>(((3.3)*(1000))/(2))*(-1)</f>
        <v>-1650</v>
      </c>
      <c r="AM14" s="18"/>
    </row>
    <row r="15" spans="1:39" ht="16.2" thickBot="1" x14ac:dyDescent="0.35">
      <c r="A15" s="47">
        <v>30</v>
      </c>
      <c r="B15" s="49">
        <v>50</v>
      </c>
      <c r="C15" s="37">
        <f t="shared" si="36"/>
        <v>0.75</v>
      </c>
      <c r="D15" s="37">
        <f t="shared" si="37"/>
        <v>1.25</v>
      </c>
      <c r="E15" s="37">
        <f t="shared" si="38"/>
        <v>2</v>
      </c>
      <c r="F15" s="37">
        <f t="shared" ref="F15" si="54">(7)/(2)</f>
        <v>3.5</v>
      </c>
      <c r="G15" s="37">
        <f t="shared" ref="G15" si="55">(11)/(2)</f>
        <v>5.5</v>
      </c>
      <c r="H15" s="37">
        <f t="shared" ref="H15" si="56">(16)/(2)</f>
        <v>8</v>
      </c>
      <c r="I15" s="37">
        <f t="shared" ref="I15" si="57">(25)/(2)</f>
        <v>12.5</v>
      </c>
      <c r="J15" s="37">
        <f t="shared" ref="J15" si="58">(39)/(2)</f>
        <v>19.5</v>
      </c>
      <c r="K15" s="37">
        <f t="shared" ref="K15" si="59">(62)/(2)</f>
        <v>31</v>
      </c>
      <c r="L15" s="37">
        <f t="shared" ref="L15" si="60">(100)/(2)</f>
        <v>50</v>
      </c>
      <c r="M15" s="37">
        <f t="shared" ref="M15" si="61">(160)/(2)</f>
        <v>80</v>
      </c>
      <c r="N15" s="37">
        <f t="shared" ref="N15" si="62">((0.25)*(1000))/(2)</f>
        <v>125</v>
      </c>
      <c r="O15" s="37">
        <f t="shared" ref="O15" si="63">((0.39)*(1000))/(2)</f>
        <v>195</v>
      </c>
      <c r="P15" s="37">
        <f t="shared" ref="P15" si="64">((0.62)*(1000))/(2)</f>
        <v>310</v>
      </c>
      <c r="Q15" s="37">
        <f t="shared" ref="Q15" si="65">((1)*(1000))/(2)</f>
        <v>500</v>
      </c>
      <c r="R15" s="37">
        <f t="shared" ref="R15" si="66">((1.6)*(1000))/(2)</f>
        <v>800</v>
      </c>
      <c r="S15" s="37">
        <f t="shared" ref="S15" si="67">((2.5)*(1000))/(2)</f>
        <v>1250</v>
      </c>
      <c r="T15" s="37">
        <f t="shared" ref="T15" si="68">((3.9)*(1000))/(2)</f>
        <v>1950</v>
      </c>
      <c r="AM15" s="18"/>
    </row>
    <row r="16" spans="1:39" ht="16.2" thickBot="1" x14ac:dyDescent="0.35">
      <c r="A16" s="48"/>
      <c r="B16" s="50"/>
      <c r="C16" s="37">
        <f>((1.5)/(2))*(-1)</f>
        <v>-0.75</v>
      </c>
      <c r="D16" s="37">
        <f>((2.5)/(2))*(-1)</f>
        <v>-1.25</v>
      </c>
      <c r="E16" s="37">
        <f>((4)/(2))*(-1)</f>
        <v>-2</v>
      </c>
      <c r="F16" s="37">
        <f>((7)/(2))*(-1)</f>
        <v>-3.5</v>
      </c>
      <c r="G16" s="37">
        <f>((11)/(2))*(-1)</f>
        <v>-5.5</v>
      </c>
      <c r="H16" s="37">
        <f>((16)/(2))*(-1)</f>
        <v>-8</v>
      </c>
      <c r="I16" s="37">
        <f>((25)/(2))*(-1)</f>
        <v>-12.5</v>
      </c>
      <c r="J16" s="37">
        <f>((39)/(2))*(-1)</f>
        <v>-19.5</v>
      </c>
      <c r="K16" s="37">
        <f>((62)/(2))*(-1)</f>
        <v>-31</v>
      </c>
      <c r="L16" s="37">
        <f>((100)/(2))*(-1)</f>
        <v>-50</v>
      </c>
      <c r="M16" s="37">
        <f>((160)/(2))*(-1)</f>
        <v>-80</v>
      </c>
      <c r="N16" s="37">
        <f>(((0.25)*(1000))/(2))*(-1)</f>
        <v>-125</v>
      </c>
      <c r="O16" s="37">
        <f>(((0.39)*(1000))/(2))*(-1)</f>
        <v>-195</v>
      </c>
      <c r="P16" s="37">
        <f>(((0.62)*(1000))/(2))*(-1)</f>
        <v>-310</v>
      </c>
      <c r="Q16" s="37">
        <f>(((1)*(1000))/(2))*(-1)</f>
        <v>-500</v>
      </c>
      <c r="R16" s="37">
        <f>(((1.6)*(1000))/(2))*(-1)</f>
        <v>-800</v>
      </c>
      <c r="S16" s="37">
        <f>(((2.5)*(1000))/(2))*(-1)</f>
        <v>-1250</v>
      </c>
      <c r="T16" s="37">
        <f>(((3.9)*(1000))/(2))*(-1)</f>
        <v>-1950</v>
      </c>
      <c r="AM16" s="18"/>
    </row>
    <row r="17" spans="1:39" ht="16.2" thickBot="1" x14ac:dyDescent="0.35">
      <c r="A17" s="47">
        <v>50</v>
      </c>
      <c r="B17" s="49">
        <v>80</v>
      </c>
      <c r="C17" s="37">
        <f t="shared" ref="C17" si="69">(2)/(2)</f>
        <v>1</v>
      </c>
      <c r="D17" s="37">
        <f t="shared" ref="D17" si="70">(3)/(2)</f>
        <v>1.5</v>
      </c>
      <c r="E17" s="37">
        <f t="shared" ref="E17" si="71">(5)/(2)</f>
        <v>2.5</v>
      </c>
      <c r="F17" s="37">
        <f t="shared" ref="F17" si="72">(8)/(2)</f>
        <v>4</v>
      </c>
      <c r="G17" s="37">
        <f t="shared" ref="G17" si="73">(13)/(2)</f>
        <v>6.5</v>
      </c>
      <c r="H17" s="37">
        <f t="shared" ref="H17" si="74">(19)/(2)</f>
        <v>9.5</v>
      </c>
      <c r="I17" s="37">
        <f t="shared" ref="I17" si="75">(30)/(2)</f>
        <v>15</v>
      </c>
      <c r="J17" s="37">
        <f t="shared" ref="J17" si="76">(46)/(2)</f>
        <v>23</v>
      </c>
      <c r="K17" s="37">
        <f t="shared" ref="K17" si="77">(74)/(2)</f>
        <v>37</v>
      </c>
      <c r="L17" s="37">
        <f t="shared" ref="L17" si="78">(120)/(2)</f>
        <v>60</v>
      </c>
      <c r="M17" s="37">
        <f t="shared" ref="M17" si="79">(190)/(2)</f>
        <v>95</v>
      </c>
      <c r="N17" s="37">
        <f t="shared" ref="N17" si="80">((0.3)*(1000))/(2)</f>
        <v>150</v>
      </c>
      <c r="O17" s="37">
        <f t="shared" ref="O17" si="81">((0.46)*(1000))/(2)</f>
        <v>230</v>
      </c>
      <c r="P17" s="37">
        <f t="shared" ref="P17" si="82">((0.74)*(1000))/(2)</f>
        <v>370</v>
      </c>
      <c r="Q17" s="37">
        <f t="shared" ref="Q17" si="83">((1.2)*(1000))/(2)</f>
        <v>600</v>
      </c>
      <c r="R17" s="37">
        <f t="shared" ref="R17" si="84">((1.9)*(1000))/(2)</f>
        <v>950</v>
      </c>
      <c r="S17" s="37">
        <f t="shared" ref="S17" si="85">((3)*(1000))/(2)</f>
        <v>1500</v>
      </c>
      <c r="T17" s="37">
        <f t="shared" ref="T17" si="86">((4.6)*(1000))/(2)</f>
        <v>2300</v>
      </c>
      <c r="AM17" s="38"/>
    </row>
    <row r="18" spans="1:39" ht="16.2" thickBot="1" x14ac:dyDescent="0.35">
      <c r="A18" s="48"/>
      <c r="B18" s="50"/>
      <c r="C18" s="37">
        <f>((2)/(2))*(-1)</f>
        <v>-1</v>
      </c>
      <c r="D18" s="37">
        <f>((3)/(2))*(-1)</f>
        <v>-1.5</v>
      </c>
      <c r="E18" s="37">
        <f>((5)/(2))*(-1)</f>
        <v>-2.5</v>
      </c>
      <c r="F18" s="37">
        <f>((8)/(2))*(-1)</f>
        <v>-4</v>
      </c>
      <c r="G18" s="37">
        <f>((13)/(2))*(-1)</f>
        <v>-6.5</v>
      </c>
      <c r="H18" s="37">
        <f>((19)/(2))*(-1)</f>
        <v>-9.5</v>
      </c>
      <c r="I18" s="37">
        <f>((30)/(2))*(-1)</f>
        <v>-15</v>
      </c>
      <c r="J18" s="37">
        <f>((46)/(2))*(-1)</f>
        <v>-23</v>
      </c>
      <c r="K18" s="37">
        <f>((74)/(2))*(-1)</f>
        <v>-37</v>
      </c>
      <c r="L18" s="37">
        <f>((120)/(2))*(-1)</f>
        <v>-60</v>
      </c>
      <c r="M18" s="37">
        <f>((190)/(2))*(-1)</f>
        <v>-95</v>
      </c>
      <c r="N18" s="37">
        <f>(((0.3)*(1000))/(2))*(-1)</f>
        <v>-150</v>
      </c>
      <c r="O18" s="37">
        <f>(((0.46)*(1000))/(2))*(-1)</f>
        <v>-230</v>
      </c>
      <c r="P18" s="37">
        <f>(((0.74)*(1000))/(2))*(-1)</f>
        <v>-370</v>
      </c>
      <c r="Q18" s="37">
        <f>(((1.2)*(1000))/(2))*(-1)</f>
        <v>-600</v>
      </c>
      <c r="R18" s="37">
        <f>(((1.9)*(1000))/(2))*(-1)</f>
        <v>-950</v>
      </c>
      <c r="S18" s="37">
        <f>(((3)*(1000))/(2))*(-1)</f>
        <v>-1500</v>
      </c>
      <c r="T18" s="37">
        <f>(((4.6)*(1000))/(2))*(-1)</f>
        <v>-2300</v>
      </c>
      <c r="AM18" s="18"/>
    </row>
    <row r="19" spans="1:39" ht="16.2" thickBot="1" x14ac:dyDescent="0.35">
      <c r="A19" s="47">
        <v>80</v>
      </c>
      <c r="B19" s="49">
        <v>120</v>
      </c>
      <c r="C19" s="37">
        <f t="shared" ref="C19" si="87">(2.5)/(2)</f>
        <v>1.25</v>
      </c>
      <c r="D19" s="37">
        <f t="shared" ref="D19" si="88">(4)/(2)</f>
        <v>2</v>
      </c>
      <c r="E19" s="37">
        <f t="shared" ref="E19" si="89">(6)/(2)</f>
        <v>3</v>
      </c>
      <c r="F19" s="37">
        <f t="shared" ref="F19" si="90">(10)/(2)</f>
        <v>5</v>
      </c>
      <c r="G19" s="37">
        <f t="shared" ref="G19" si="91">(15)/(2)</f>
        <v>7.5</v>
      </c>
      <c r="H19" s="37">
        <f t="shared" ref="H19" si="92">(22)/(2)</f>
        <v>11</v>
      </c>
      <c r="I19" s="37">
        <f t="shared" ref="I19" si="93">(35)/(2)</f>
        <v>17.5</v>
      </c>
      <c r="J19" s="37">
        <f t="shared" ref="J19" si="94">(54)/(2)</f>
        <v>27</v>
      </c>
      <c r="K19" s="37">
        <f t="shared" ref="K19" si="95">(87)/(2)</f>
        <v>43.5</v>
      </c>
      <c r="L19" s="37">
        <f t="shared" ref="L19" si="96">(140)/(2)</f>
        <v>70</v>
      </c>
      <c r="M19" s="37">
        <f t="shared" ref="M19" si="97">(220)/(2)</f>
        <v>110</v>
      </c>
      <c r="N19" s="37">
        <f t="shared" ref="N19" si="98">((0.35)*(1000))/(2)</f>
        <v>175</v>
      </c>
      <c r="O19" s="37">
        <f t="shared" ref="O19" si="99">((0.54)*(1000))/(2)</f>
        <v>270</v>
      </c>
      <c r="P19" s="37">
        <f t="shared" ref="P19" si="100">((0.87)*(1000))/(2)</f>
        <v>435</v>
      </c>
      <c r="Q19" s="37">
        <f t="shared" ref="Q19" si="101">((1.4)*(1000))/(2)</f>
        <v>700</v>
      </c>
      <c r="R19" s="37">
        <f t="shared" ref="R19" si="102">((2.2)*(1000))/(2)</f>
        <v>1100</v>
      </c>
      <c r="S19" s="37">
        <f t="shared" ref="S19" si="103">((3.5)*(1000))/(2)</f>
        <v>1750</v>
      </c>
      <c r="T19" s="37">
        <f t="shared" ref="T19" si="104">((5.4)*(1000))/(2)</f>
        <v>2700</v>
      </c>
      <c r="AM19" s="18"/>
    </row>
    <row r="20" spans="1:39" ht="16.2" thickBot="1" x14ac:dyDescent="0.35">
      <c r="A20" s="48"/>
      <c r="B20" s="50"/>
      <c r="C20" s="37">
        <f>((2.5)/(2))*(-1)</f>
        <v>-1.25</v>
      </c>
      <c r="D20" s="37">
        <f>((4)/(2))*(-1)</f>
        <v>-2</v>
      </c>
      <c r="E20" s="37">
        <f>((6)/(2))*(-1)</f>
        <v>-3</v>
      </c>
      <c r="F20" s="37">
        <f>((10)/(2))*(-1)</f>
        <v>-5</v>
      </c>
      <c r="G20" s="37">
        <f>((15)/(2))*(-1)</f>
        <v>-7.5</v>
      </c>
      <c r="H20" s="37">
        <f>((22)/(2))*(-1)</f>
        <v>-11</v>
      </c>
      <c r="I20" s="37">
        <f>((35)/(2))*(-1)</f>
        <v>-17.5</v>
      </c>
      <c r="J20" s="37">
        <f>((54)/(2))*(-1)</f>
        <v>-27</v>
      </c>
      <c r="K20" s="37">
        <f>((87)/(2))*(-1)</f>
        <v>-43.5</v>
      </c>
      <c r="L20" s="37">
        <f>((140)/(2))*(-1)</f>
        <v>-70</v>
      </c>
      <c r="M20" s="37">
        <f>((220)/(2))*(-1)</f>
        <v>-110</v>
      </c>
      <c r="N20" s="37">
        <f>(((0.35)*(1000))/(2))*(-1)</f>
        <v>-175</v>
      </c>
      <c r="O20" s="37">
        <f>(((0.54)*(1000))/(2))*(-1)</f>
        <v>-270</v>
      </c>
      <c r="P20" s="37">
        <f>(((0.87)*(1000))/(2))*(-1)</f>
        <v>-435</v>
      </c>
      <c r="Q20" s="37">
        <f>(((1.4)*(1000))/(2))*(-1)</f>
        <v>-700</v>
      </c>
      <c r="R20" s="37">
        <f>(((2.2)*(1000))/(2))*(-1)</f>
        <v>-1100</v>
      </c>
      <c r="S20" s="37">
        <f>(((3.5)*(1000))/(2))*(-1)</f>
        <v>-1750</v>
      </c>
      <c r="T20" s="37">
        <f>(((5.4)*(1000))/(2))*(-1)</f>
        <v>-2700</v>
      </c>
      <c r="AM20" s="18"/>
    </row>
    <row r="21" spans="1:39" ht="16.2" thickBot="1" x14ac:dyDescent="0.35">
      <c r="A21" s="47">
        <v>120</v>
      </c>
      <c r="B21" s="49">
        <v>180</v>
      </c>
      <c r="C21" s="37">
        <f t="shared" ref="C21" si="105">(3.5)/(2)</f>
        <v>1.75</v>
      </c>
      <c r="D21" s="37">
        <f t="shared" ref="D21" si="106">(5)/(2)</f>
        <v>2.5</v>
      </c>
      <c r="E21" s="37">
        <f t="shared" ref="E21" si="107">(8)/(2)</f>
        <v>4</v>
      </c>
      <c r="F21" s="37">
        <f t="shared" ref="F21" si="108">(12)/(2)</f>
        <v>6</v>
      </c>
      <c r="G21" s="37">
        <f t="shared" ref="G21" si="109">(18)/(2)</f>
        <v>9</v>
      </c>
      <c r="H21" s="37">
        <f t="shared" ref="H21" si="110">(25)/(2)</f>
        <v>12.5</v>
      </c>
      <c r="I21" s="37">
        <f t="shared" ref="I21" si="111">(40)/(2)</f>
        <v>20</v>
      </c>
      <c r="J21" s="37">
        <f t="shared" ref="J21" si="112">(63)/(2)</f>
        <v>31.5</v>
      </c>
      <c r="K21" s="37">
        <f t="shared" ref="K21" si="113">(100)/(2)</f>
        <v>50</v>
      </c>
      <c r="L21" s="37">
        <f t="shared" ref="L21" si="114">(160)/(2)</f>
        <v>80</v>
      </c>
      <c r="M21" s="37">
        <f t="shared" ref="M21" si="115">(250)/(2)</f>
        <v>125</v>
      </c>
      <c r="N21" s="37">
        <f t="shared" ref="N21" si="116">((0.4)*(1000))/(2)</f>
        <v>200</v>
      </c>
      <c r="O21" s="37">
        <f t="shared" ref="O21" si="117">((0.63)*(1000))/(2)</f>
        <v>315</v>
      </c>
      <c r="P21" s="37">
        <f t="shared" ref="P21" si="118">((1)*(1000))/(2)</f>
        <v>500</v>
      </c>
      <c r="Q21" s="37">
        <f t="shared" ref="Q21" si="119">((1.6)*(1000))/(2)</f>
        <v>800</v>
      </c>
      <c r="R21" s="37">
        <f t="shared" ref="R21" si="120">((2.5)*(1000))/(2)</f>
        <v>1250</v>
      </c>
      <c r="S21" s="37">
        <f t="shared" ref="S21" si="121">((4)*(1000))/(2)</f>
        <v>2000</v>
      </c>
      <c r="T21" s="37">
        <f t="shared" ref="T21" si="122">((6.3)*(1000))/(2)</f>
        <v>3150</v>
      </c>
      <c r="AM21" s="18"/>
    </row>
    <row r="22" spans="1:39" ht="16.2" thickBot="1" x14ac:dyDescent="0.35">
      <c r="A22" s="48"/>
      <c r="B22" s="50"/>
      <c r="C22" s="37">
        <f>((3.5)/(2))*(-1)</f>
        <v>-1.75</v>
      </c>
      <c r="D22" s="37">
        <f>((5)/(2))*(-1)</f>
        <v>-2.5</v>
      </c>
      <c r="E22" s="37">
        <f>((8)/(2))*(-1)</f>
        <v>-4</v>
      </c>
      <c r="F22" s="37">
        <f>((12)/(2))*(-1)</f>
        <v>-6</v>
      </c>
      <c r="G22" s="37">
        <f>((18)/(2))*(-1)</f>
        <v>-9</v>
      </c>
      <c r="H22" s="37">
        <f>((25)/(2))*(-1)</f>
        <v>-12.5</v>
      </c>
      <c r="I22" s="37">
        <f>((40)/(2))*(-1)</f>
        <v>-20</v>
      </c>
      <c r="J22" s="37">
        <f>((63)/(2))*(-1)</f>
        <v>-31.5</v>
      </c>
      <c r="K22" s="37">
        <f>((100)/(2))*(-1)</f>
        <v>-50</v>
      </c>
      <c r="L22" s="37">
        <f>((160)/(2))*(-1)</f>
        <v>-80</v>
      </c>
      <c r="M22" s="37">
        <f>((250)/(2))*(-1)</f>
        <v>-125</v>
      </c>
      <c r="N22" s="37">
        <f>(((0.4)*(1000))/(2))*(-1)</f>
        <v>-200</v>
      </c>
      <c r="O22" s="37">
        <f>(((0.63)*(1000))/(2))*(-1)</f>
        <v>-315</v>
      </c>
      <c r="P22" s="37">
        <f>(((1)*(1000))/(2))*(-1)</f>
        <v>-500</v>
      </c>
      <c r="Q22" s="37">
        <f>(((1.6)*(1000))/(2))*(-1)</f>
        <v>-800</v>
      </c>
      <c r="R22" s="37">
        <f>(((2.5)*(1000))/(2))*(-1)</f>
        <v>-1250</v>
      </c>
      <c r="S22" s="37">
        <f>(((4)*(1000))/(2))*(-1)</f>
        <v>-2000</v>
      </c>
      <c r="T22" s="37">
        <f>(((6.3)*(1000))/(2))*(-1)</f>
        <v>-3150</v>
      </c>
      <c r="AM22" s="18"/>
    </row>
    <row r="23" spans="1:39" ht="16.2" thickBot="1" x14ac:dyDescent="0.35">
      <c r="A23" s="47">
        <v>180</v>
      </c>
      <c r="B23" s="49">
        <v>250</v>
      </c>
      <c r="C23" s="37">
        <f t="shared" ref="C23" si="123">(4.5)/(2)</f>
        <v>2.25</v>
      </c>
      <c r="D23" s="37">
        <f t="shared" ref="D23" si="124">(7)/(2)</f>
        <v>3.5</v>
      </c>
      <c r="E23" s="37">
        <f t="shared" ref="E23" si="125">(10)/(2)</f>
        <v>5</v>
      </c>
      <c r="F23" s="37">
        <f t="shared" ref="F23" si="126">(14)/(2)</f>
        <v>7</v>
      </c>
      <c r="G23" s="37">
        <f t="shared" ref="G23" si="127">(20)/(2)</f>
        <v>10</v>
      </c>
      <c r="H23" s="37">
        <f t="shared" ref="H23" si="128">(29)/(2)</f>
        <v>14.5</v>
      </c>
      <c r="I23" s="37">
        <f t="shared" ref="I23" si="129">(46)/(2)</f>
        <v>23</v>
      </c>
      <c r="J23" s="37">
        <f t="shared" ref="J23" si="130">(72)/(2)</f>
        <v>36</v>
      </c>
      <c r="K23" s="37">
        <f t="shared" ref="K23" si="131">(115)/(2)</f>
        <v>57.5</v>
      </c>
      <c r="L23" s="37">
        <f t="shared" ref="L23" si="132">(185)/(2)</f>
        <v>92.5</v>
      </c>
      <c r="M23" s="37">
        <f t="shared" ref="M23" si="133">(290)/(2)</f>
        <v>145</v>
      </c>
      <c r="N23" s="37">
        <f t="shared" ref="N23" si="134">((0.46)*(1000))/(2)</f>
        <v>230</v>
      </c>
      <c r="O23" s="37">
        <f t="shared" ref="O23" si="135">((0.72)*(1000))/(2)</f>
        <v>360</v>
      </c>
      <c r="P23" s="37">
        <f t="shared" ref="P23" si="136">((1.15)*(1000))/(2)</f>
        <v>575</v>
      </c>
      <c r="Q23" s="37">
        <f t="shared" ref="Q23" si="137">((1.85)*(1000))/(2)</f>
        <v>925</v>
      </c>
      <c r="R23" s="37">
        <f t="shared" ref="R23" si="138">((2.9)*(1000))/(2)</f>
        <v>1450</v>
      </c>
      <c r="S23" s="37">
        <f t="shared" ref="S23" si="139">((4.6)*(1000))/(2)</f>
        <v>2300</v>
      </c>
      <c r="T23" s="37">
        <f t="shared" ref="T23" si="140">((7.2)*(1000))/(2)</f>
        <v>3600</v>
      </c>
      <c r="AM23" s="18"/>
    </row>
    <row r="24" spans="1:39" ht="16.2" thickBot="1" x14ac:dyDescent="0.35">
      <c r="A24" s="48"/>
      <c r="B24" s="50"/>
      <c r="C24" s="37">
        <f>((4.5)/(2))*(-1)</f>
        <v>-2.25</v>
      </c>
      <c r="D24" s="37">
        <f>((7)/(2))*(-1)</f>
        <v>-3.5</v>
      </c>
      <c r="E24" s="37">
        <f>((10)/(2))*(-1)</f>
        <v>-5</v>
      </c>
      <c r="F24" s="37">
        <f>((14)/(2))*(-1)</f>
        <v>-7</v>
      </c>
      <c r="G24" s="37">
        <f>((20)/(2))*(-1)</f>
        <v>-10</v>
      </c>
      <c r="H24" s="37">
        <f>((29)/(2))*(-1)</f>
        <v>-14.5</v>
      </c>
      <c r="I24" s="37">
        <f>((46)/(2))*(-1)</f>
        <v>-23</v>
      </c>
      <c r="J24" s="37">
        <f>((72)/(2))*(-1)</f>
        <v>-36</v>
      </c>
      <c r="K24" s="37">
        <f>((115)/(2))*(-1)</f>
        <v>-57.5</v>
      </c>
      <c r="L24" s="37">
        <f>((185)/(2))*(-1)</f>
        <v>-92.5</v>
      </c>
      <c r="M24" s="37">
        <f>((290)/(2))*(-1)</f>
        <v>-145</v>
      </c>
      <c r="N24" s="37">
        <f>(((0.46)*(1000))/(2))*(-1)</f>
        <v>-230</v>
      </c>
      <c r="O24" s="37">
        <f>(((0.72)*(1000))/(2))*(-1)</f>
        <v>-360</v>
      </c>
      <c r="P24" s="37">
        <f>(((1.15)*(1000))/(2))*(-1)</f>
        <v>-575</v>
      </c>
      <c r="Q24" s="37">
        <f>(((1.85)*(1000))/(2))*(-1)</f>
        <v>-925</v>
      </c>
      <c r="R24" s="37">
        <f>(((2.9)*(1000))/(2))*(-1)</f>
        <v>-1450</v>
      </c>
      <c r="S24" s="37">
        <f>(((4.6)*(1000))/(2))*(-1)</f>
        <v>-2300</v>
      </c>
      <c r="T24" s="37">
        <f>(((7.2)*(1000))/(2))*(-1)</f>
        <v>-3600</v>
      </c>
      <c r="AM24" s="18"/>
    </row>
    <row r="25" spans="1:39" ht="16.2" thickBot="1" x14ac:dyDescent="0.35">
      <c r="A25" s="47">
        <v>250</v>
      </c>
      <c r="B25" s="49">
        <v>315</v>
      </c>
      <c r="C25" s="37">
        <f t="shared" ref="C25" si="141">(6)/(2)</f>
        <v>3</v>
      </c>
      <c r="D25" s="37">
        <f t="shared" ref="D25" si="142">(8)/(2)</f>
        <v>4</v>
      </c>
      <c r="E25" s="37">
        <f t="shared" ref="E25" si="143">(12)/(2)</f>
        <v>6</v>
      </c>
      <c r="F25" s="37">
        <f t="shared" ref="F25" si="144">(16)/(2)</f>
        <v>8</v>
      </c>
      <c r="G25" s="37">
        <f t="shared" ref="G25" si="145">(23)/(2)</f>
        <v>11.5</v>
      </c>
      <c r="H25" s="37">
        <f t="shared" ref="H25" si="146">(32)/(2)</f>
        <v>16</v>
      </c>
      <c r="I25" s="37">
        <f t="shared" ref="I25" si="147">(52)/(2)</f>
        <v>26</v>
      </c>
      <c r="J25" s="37">
        <f t="shared" ref="J25" si="148">(81)/(2)</f>
        <v>40.5</v>
      </c>
      <c r="K25" s="37">
        <f t="shared" ref="K25" si="149">(130)/(2)</f>
        <v>65</v>
      </c>
      <c r="L25" s="37">
        <f t="shared" ref="L25" si="150">(210)/(2)</f>
        <v>105</v>
      </c>
      <c r="M25" s="37">
        <f t="shared" ref="M25" si="151">(320)/(2)</f>
        <v>160</v>
      </c>
      <c r="N25" s="37">
        <f t="shared" ref="N25" si="152">((0.52)*(1000))/(2)</f>
        <v>260</v>
      </c>
      <c r="O25" s="37">
        <f t="shared" ref="O25" si="153">((0.81)*(1000))/(2)</f>
        <v>405</v>
      </c>
      <c r="P25" s="37">
        <f t="shared" ref="P25" si="154">((1.3)*(1000))/(2)</f>
        <v>650</v>
      </c>
      <c r="Q25" s="37">
        <f t="shared" ref="Q25" si="155">((2.1)*(1000))/(2)</f>
        <v>1050</v>
      </c>
      <c r="R25" s="37">
        <f t="shared" ref="R25" si="156">((3.2)*(1000))/(2)</f>
        <v>1600</v>
      </c>
      <c r="S25" s="37">
        <f t="shared" ref="S25" si="157">((5.2)*(1000))/(2)</f>
        <v>2600</v>
      </c>
      <c r="T25" s="37">
        <f t="shared" ref="T25" si="158">((8.1)*(1000))/(2)</f>
        <v>4050</v>
      </c>
      <c r="AM25" s="18"/>
    </row>
    <row r="26" spans="1:39" ht="16.2" customHeight="1" thickBot="1" x14ac:dyDescent="0.35">
      <c r="A26" s="48"/>
      <c r="B26" s="50"/>
      <c r="C26" s="37">
        <f>((6)/(2))*(-1)</f>
        <v>-3</v>
      </c>
      <c r="D26" s="37">
        <f>((8)/(2))*(-1)</f>
        <v>-4</v>
      </c>
      <c r="E26" s="37">
        <f>((12)/(2))*(-1)</f>
        <v>-6</v>
      </c>
      <c r="F26" s="37">
        <f>((16)/(2))*(-1)</f>
        <v>-8</v>
      </c>
      <c r="G26" s="37">
        <f>((23)/(2))*(-1)</f>
        <v>-11.5</v>
      </c>
      <c r="H26" s="37">
        <f>((32)/(2))*(-1)</f>
        <v>-16</v>
      </c>
      <c r="I26" s="37">
        <f>((52)/(2))*(-1)</f>
        <v>-26</v>
      </c>
      <c r="J26" s="37">
        <f>((81)/(2))*(-1)</f>
        <v>-40.5</v>
      </c>
      <c r="K26" s="37">
        <f>((130)/(2))*(-1)</f>
        <v>-65</v>
      </c>
      <c r="L26" s="37">
        <f>((210)/(2))*(-1)</f>
        <v>-105</v>
      </c>
      <c r="M26" s="37">
        <f>((320)/(2))*(-1)</f>
        <v>-160</v>
      </c>
      <c r="N26" s="37">
        <f>(((0.52)*(1000))/(2))*(-1)</f>
        <v>-260</v>
      </c>
      <c r="O26" s="37">
        <f>(((0.81)*(1000))/(2))*(-1)</f>
        <v>-405</v>
      </c>
      <c r="P26" s="37">
        <f>(((1.3)*(1000))/(2))*(-1)</f>
        <v>-650</v>
      </c>
      <c r="Q26" s="37">
        <f>(((2.1)*(1000))/(2))*(-1)</f>
        <v>-1050</v>
      </c>
      <c r="R26" s="37">
        <f>(((3.2)*(1000))/(2))*(-1)</f>
        <v>-1600</v>
      </c>
      <c r="S26" s="37">
        <f>(((5.2)*(1000))/(2))*(-1)</f>
        <v>-2600</v>
      </c>
      <c r="T26" s="37">
        <f>(((8.1)*(1000))/(2))*(-1)</f>
        <v>-4050</v>
      </c>
    </row>
    <row r="27" spans="1:39" ht="16.2" thickBot="1" x14ac:dyDescent="0.35">
      <c r="A27" s="47">
        <v>315</v>
      </c>
      <c r="B27" s="49">
        <v>400</v>
      </c>
      <c r="C27" s="37">
        <f t="shared" ref="C27" si="159">(7)/(2)</f>
        <v>3.5</v>
      </c>
      <c r="D27" s="37">
        <f t="shared" ref="D27" si="160">(9)/(2)</f>
        <v>4.5</v>
      </c>
      <c r="E27" s="37">
        <f t="shared" ref="E27" si="161">(13)/(2)</f>
        <v>6.5</v>
      </c>
      <c r="F27" s="37">
        <f t="shared" ref="F27" si="162">(18)/(2)</f>
        <v>9</v>
      </c>
      <c r="G27" s="37">
        <f t="shared" ref="G27" si="163">(25)/(2)</f>
        <v>12.5</v>
      </c>
      <c r="H27" s="37">
        <f t="shared" ref="H27" si="164">(36)/(2)</f>
        <v>18</v>
      </c>
      <c r="I27" s="37">
        <f t="shared" ref="I27" si="165">(57)/(2)</f>
        <v>28.5</v>
      </c>
      <c r="J27" s="37">
        <f t="shared" ref="J27" si="166">(89)/(2)</f>
        <v>44.5</v>
      </c>
      <c r="K27" s="37">
        <f t="shared" ref="K27" si="167">(140)/(2)</f>
        <v>70</v>
      </c>
      <c r="L27" s="37">
        <f t="shared" ref="L27" si="168">(230)/(2)</f>
        <v>115</v>
      </c>
      <c r="M27" s="37">
        <f t="shared" ref="M27" si="169">(360)/(2)</f>
        <v>180</v>
      </c>
      <c r="N27" s="37">
        <f t="shared" ref="N27" si="170">((0.57)*(1000))/(2)</f>
        <v>285</v>
      </c>
      <c r="O27" s="37">
        <f t="shared" ref="O27" si="171">((0.89)*(1000))/(2)</f>
        <v>445</v>
      </c>
      <c r="P27" s="37">
        <f t="shared" ref="P27" si="172">((1.4)*(1000))/(2)</f>
        <v>700</v>
      </c>
      <c r="Q27" s="37">
        <f t="shared" ref="Q27" si="173">((2.3)*(1000))/(2)</f>
        <v>1150</v>
      </c>
      <c r="R27" s="37">
        <f t="shared" ref="R27" si="174">((3.6)*(1000))/(2)</f>
        <v>1800</v>
      </c>
      <c r="S27" s="37">
        <f t="shared" ref="S27" si="175">((5.7)*(1000))/(2)</f>
        <v>2850</v>
      </c>
      <c r="T27" s="37">
        <f t="shared" ref="T27" si="176">((8.9)*(1000))/(2)</f>
        <v>4450</v>
      </c>
    </row>
    <row r="28" spans="1:39" ht="19.2" customHeight="1" thickBot="1" x14ac:dyDescent="0.35">
      <c r="A28" s="48"/>
      <c r="B28" s="50"/>
      <c r="C28" s="37">
        <f>((7)/(2))*(-1)</f>
        <v>-3.5</v>
      </c>
      <c r="D28" s="37">
        <f>((9)/(2))*(-1)</f>
        <v>-4.5</v>
      </c>
      <c r="E28" s="37">
        <f>((13)/(2))*(-1)</f>
        <v>-6.5</v>
      </c>
      <c r="F28" s="37">
        <f>((18)/(2))*(-1)</f>
        <v>-9</v>
      </c>
      <c r="G28" s="37">
        <f>((25)/(2))*(-1)</f>
        <v>-12.5</v>
      </c>
      <c r="H28" s="37">
        <f>((36)/(2))*(-1)</f>
        <v>-18</v>
      </c>
      <c r="I28" s="37">
        <f>((57)/(2))*(-1)</f>
        <v>-28.5</v>
      </c>
      <c r="J28" s="37">
        <f>((89)/(2))*(-1)</f>
        <v>-44.5</v>
      </c>
      <c r="K28" s="37">
        <f>((140)/(2))*(-1)</f>
        <v>-70</v>
      </c>
      <c r="L28" s="37">
        <f>((230)/(2))*(-1)</f>
        <v>-115</v>
      </c>
      <c r="M28" s="37">
        <f>((360)/(2))*(-1)</f>
        <v>-180</v>
      </c>
      <c r="N28" s="37">
        <f>(((0.57)*(1000))/(2))*(-1)</f>
        <v>-285</v>
      </c>
      <c r="O28" s="37">
        <f>(((0.89)*(1000))/(2))*(-1)</f>
        <v>-445</v>
      </c>
      <c r="P28" s="37">
        <f>(((1.4)*(1000))/(2))*(-1)</f>
        <v>-700</v>
      </c>
      <c r="Q28" s="37">
        <f>(((2.3)*(1000))/(2))*(-1)</f>
        <v>-1150</v>
      </c>
      <c r="R28" s="37">
        <f>(((3.6)*(1000))/(2))*(-1)</f>
        <v>-1800</v>
      </c>
      <c r="S28" s="37">
        <f>(((5.7)*(1000))/(2))*(-1)</f>
        <v>-2850</v>
      </c>
      <c r="T28" s="37">
        <f>(((8.9)*(1000))/(2))*(-1)</f>
        <v>-4450</v>
      </c>
    </row>
    <row r="29" spans="1:39" ht="16.2" thickBot="1" x14ac:dyDescent="0.35">
      <c r="A29" s="47">
        <v>400</v>
      </c>
      <c r="B29" s="49">
        <v>500</v>
      </c>
      <c r="C29" s="37">
        <f t="shared" ref="C29" si="177">(8)/(2)</f>
        <v>4</v>
      </c>
      <c r="D29" s="37">
        <f t="shared" ref="D29" si="178">(10)/(2)</f>
        <v>5</v>
      </c>
      <c r="E29" s="37">
        <f t="shared" ref="E29" si="179">(15)/(2)</f>
        <v>7.5</v>
      </c>
      <c r="F29" s="37">
        <f t="shared" ref="F29" si="180">(20)/(2)</f>
        <v>10</v>
      </c>
      <c r="G29" s="37">
        <f t="shared" ref="G29" si="181">(27)/(2)</f>
        <v>13.5</v>
      </c>
      <c r="H29" s="37">
        <f t="shared" ref="H29" si="182">(40)/(2)</f>
        <v>20</v>
      </c>
      <c r="I29" s="37">
        <f t="shared" ref="I29" si="183">(63)/(2)</f>
        <v>31.5</v>
      </c>
      <c r="J29" s="37">
        <f t="shared" ref="J29" si="184">(97)/(2)</f>
        <v>48.5</v>
      </c>
      <c r="K29" s="37">
        <f t="shared" ref="K29" si="185">(155)/(2)</f>
        <v>77.5</v>
      </c>
      <c r="L29" s="37">
        <f t="shared" ref="L29" si="186">(250)/(2)</f>
        <v>125</v>
      </c>
      <c r="M29" s="37">
        <f t="shared" ref="M29" si="187">(400)/(2)</f>
        <v>200</v>
      </c>
      <c r="N29" s="37">
        <f t="shared" ref="N29" si="188">((0.63)*(1000))/(2)</f>
        <v>315</v>
      </c>
      <c r="O29" s="37">
        <f t="shared" ref="O29" si="189">((0.97)*(1000))/(2)</f>
        <v>485</v>
      </c>
      <c r="P29" s="37">
        <f t="shared" ref="P29" si="190">((1.55)*(1000))/(2)</f>
        <v>775</v>
      </c>
      <c r="Q29" s="37">
        <f t="shared" ref="Q29" si="191">((2.5)*(1000))/(2)</f>
        <v>1250</v>
      </c>
      <c r="R29" s="37">
        <f t="shared" ref="R29" si="192">((4)*(1000))/(2)</f>
        <v>2000</v>
      </c>
      <c r="S29" s="37">
        <f t="shared" ref="S29" si="193">((6.3)*(1000))/(2)</f>
        <v>3150</v>
      </c>
      <c r="T29" s="37">
        <f t="shared" ref="T29" si="194">((9.7)*(1000))/(2)</f>
        <v>4850</v>
      </c>
    </row>
    <row r="30" spans="1:39" ht="16.2" thickBot="1" x14ac:dyDescent="0.35">
      <c r="A30" s="48"/>
      <c r="B30" s="50"/>
      <c r="C30" s="37">
        <f>((8)/(2))*(-1)</f>
        <v>-4</v>
      </c>
      <c r="D30" s="37">
        <f>((10)/(2))*(-1)</f>
        <v>-5</v>
      </c>
      <c r="E30" s="37">
        <f>((15)/(2))*(-1)</f>
        <v>-7.5</v>
      </c>
      <c r="F30" s="37">
        <f>((20)/(2))*(-1)</f>
        <v>-10</v>
      </c>
      <c r="G30" s="37">
        <f>((27)/(2))*(-1)</f>
        <v>-13.5</v>
      </c>
      <c r="H30" s="37">
        <f>((40)/(2))*(-1)</f>
        <v>-20</v>
      </c>
      <c r="I30" s="37">
        <f>((63)/(2))*(-1)</f>
        <v>-31.5</v>
      </c>
      <c r="J30" s="37">
        <f>((97)/(2))*(-1)</f>
        <v>-48.5</v>
      </c>
      <c r="K30" s="37">
        <f>((155)/(2))*(-1)</f>
        <v>-77.5</v>
      </c>
      <c r="L30" s="37">
        <f>((250)/(2))*(-1)</f>
        <v>-125</v>
      </c>
      <c r="M30" s="37">
        <f>((400)/(2))*(-1)</f>
        <v>-200</v>
      </c>
      <c r="N30" s="37">
        <f>(((0.63)*(1000))/(2))*(-1)</f>
        <v>-315</v>
      </c>
      <c r="O30" s="37">
        <f>(((0.97)*(1000))/(2))*(-1)</f>
        <v>-485</v>
      </c>
      <c r="P30" s="37">
        <f>(((1.55)*(1000))/(2))*(-1)</f>
        <v>-775</v>
      </c>
      <c r="Q30" s="37">
        <f>(((2.5)*(1000))/(2))*(-1)</f>
        <v>-1250</v>
      </c>
      <c r="R30" s="37">
        <f>(((4)*(1000))/(2))*(-1)</f>
        <v>-2000</v>
      </c>
      <c r="S30" s="37">
        <f>(((6.3)*(1000))/(2))*(-1)</f>
        <v>-3150</v>
      </c>
      <c r="T30" s="37">
        <f>(((9.7)*(1000))/(2))*(-1)</f>
        <v>-4850</v>
      </c>
    </row>
    <row r="31" spans="1:39" ht="16.2" thickBot="1" x14ac:dyDescent="0.35">
      <c r="A31" s="47">
        <v>500</v>
      </c>
      <c r="B31" s="49">
        <v>630</v>
      </c>
      <c r="C31" s="37">
        <f t="shared" ref="C31" si="195">(9)/(2)</f>
        <v>4.5</v>
      </c>
      <c r="D31" s="37">
        <f t="shared" ref="D31" si="196">(11)/(2)</f>
        <v>5.5</v>
      </c>
      <c r="E31" s="37">
        <f t="shared" ref="E31" si="197">(16)/(2)</f>
        <v>8</v>
      </c>
      <c r="F31" s="37">
        <f t="shared" ref="F31" si="198">(22)/(2)</f>
        <v>11</v>
      </c>
      <c r="G31" s="37">
        <f t="shared" ref="G31" si="199">(32)/(2)</f>
        <v>16</v>
      </c>
      <c r="H31" s="37">
        <f t="shared" ref="H31" si="200">(44)/(2)</f>
        <v>22</v>
      </c>
      <c r="I31" s="37">
        <f t="shared" ref="I31" si="201">(70)/(2)</f>
        <v>35</v>
      </c>
      <c r="J31" s="37">
        <f t="shared" ref="J31" si="202">(110)/(2)</f>
        <v>55</v>
      </c>
      <c r="K31" s="37">
        <f t="shared" ref="K31" si="203">(175)/(2)</f>
        <v>87.5</v>
      </c>
      <c r="L31" s="37">
        <f t="shared" ref="L31" si="204">(280)/(2)</f>
        <v>140</v>
      </c>
      <c r="M31" s="37">
        <f t="shared" ref="M31" si="205">(440)/(2)</f>
        <v>220</v>
      </c>
      <c r="N31" s="37">
        <f t="shared" ref="N31" si="206">((0.7)*(1000))/(2)</f>
        <v>350</v>
      </c>
      <c r="O31" s="37">
        <f t="shared" ref="O31" si="207">((1.1)*(1000))/(2)</f>
        <v>550</v>
      </c>
      <c r="P31" s="37">
        <f t="shared" ref="P31" si="208">((1.75)*(1000))/(2)</f>
        <v>875</v>
      </c>
      <c r="Q31" s="37">
        <f t="shared" ref="Q31" si="209">((2.8)*(1000))/(2)</f>
        <v>1400</v>
      </c>
      <c r="R31" s="37">
        <f t="shared" ref="R31" si="210">((4.4)*(1000))/(2)</f>
        <v>2200</v>
      </c>
      <c r="S31" s="37">
        <f t="shared" ref="S31" si="211">((7)*(1000))/(2)</f>
        <v>3500</v>
      </c>
      <c r="T31" s="37">
        <f t="shared" ref="T31" si="212">((11)*(1000))/(2)</f>
        <v>5500</v>
      </c>
    </row>
    <row r="32" spans="1:39" ht="16.2" thickBot="1" x14ac:dyDescent="0.35">
      <c r="A32" s="48"/>
      <c r="B32" s="50"/>
      <c r="C32" s="37">
        <f>((9)/(2))*(-1)</f>
        <v>-4.5</v>
      </c>
      <c r="D32" s="37">
        <f>((11)/(2))*(-1)</f>
        <v>-5.5</v>
      </c>
      <c r="E32" s="37">
        <f>((16)/(2))*(-1)</f>
        <v>-8</v>
      </c>
      <c r="F32" s="37">
        <f>((22)/(2))*(-1)</f>
        <v>-11</v>
      </c>
      <c r="G32" s="37">
        <f>((32)/(2))*(-1)</f>
        <v>-16</v>
      </c>
      <c r="H32" s="37">
        <f>((44)/(2))*(-1)</f>
        <v>-22</v>
      </c>
      <c r="I32" s="37">
        <f>((70)/(2))*(-1)</f>
        <v>-35</v>
      </c>
      <c r="J32" s="37">
        <f>((110)/(2))*(-1)</f>
        <v>-55</v>
      </c>
      <c r="K32" s="37">
        <f>((175)/(2))*(-1)</f>
        <v>-87.5</v>
      </c>
      <c r="L32" s="37">
        <f>((280)/(2))*(-1)</f>
        <v>-140</v>
      </c>
      <c r="M32" s="37">
        <f>((440)/(2))*(-1)</f>
        <v>-220</v>
      </c>
      <c r="N32" s="37">
        <f>(((0.7)*(1000))/(2))*(-1)</f>
        <v>-350</v>
      </c>
      <c r="O32" s="37">
        <f>(((1.1)*(1000))/(2))*(-1)</f>
        <v>-550</v>
      </c>
      <c r="P32" s="37">
        <f>(((1.75)*(1000))/(2))*(-1)</f>
        <v>-875</v>
      </c>
      <c r="Q32" s="37">
        <f>(((2.8)*(1000))/(2))*(-1)</f>
        <v>-1400</v>
      </c>
      <c r="R32" s="37">
        <f>(((4.4)*(1000))/(2))*(-1)</f>
        <v>-2200</v>
      </c>
      <c r="S32" s="37">
        <f>(((7)*(1000))/(2))*(-1)</f>
        <v>-3500</v>
      </c>
      <c r="T32" s="37">
        <f>(((11)*(1000))/(2))*(-1)</f>
        <v>-5500</v>
      </c>
    </row>
    <row r="33" spans="1:20" ht="16.2" thickBot="1" x14ac:dyDescent="0.35">
      <c r="A33" s="47">
        <v>630</v>
      </c>
      <c r="B33" s="49">
        <v>800</v>
      </c>
      <c r="C33" s="37">
        <f t="shared" ref="C33" si="213">(10)/(2)</f>
        <v>5</v>
      </c>
      <c r="D33" s="37">
        <f t="shared" ref="D33" si="214">(13)/(2)</f>
        <v>6.5</v>
      </c>
      <c r="E33" s="37">
        <f t="shared" ref="E33" si="215">(18)/(2)</f>
        <v>9</v>
      </c>
      <c r="F33" s="37">
        <f t="shared" ref="F33" si="216">(25)/(2)</f>
        <v>12.5</v>
      </c>
      <c r="G33" s="37">
        <f t="shared" ref="G33" si="217">(36)/(2)</f>
        <v>18</v>
      </c>
      <c r="H33" s="37">
        <f t="shared" ref="H33" si="218">(50)/(2)</f>
        <v>25</v>
      </c>
      <c r="I33" s="37">
        <f t="shared" ref="I33" si="219">(80)/(2)</f>
        <v>40</v>
      </c>
      <c r="J33" s="37">
        <f t="shared" ref="J33" si="220">(125)/(2)</f>
        <v>62.5</v>
      </c>
      <c r="K33" s="37">
        <f t="shared" ref="K33" si="221">(200)/(2)</f>
        <v>100</v>
      </c>
      <c r="L33" s="37">
        <f t="shared" ref="L33" si="222">(320)/(2)</f>
        <v>160</v>
      </c>
      <c r="M33" s="37">
        <f t="shared" ref="M33" si="223">(500)/(2)</f>
        <v>250</v>
      </c>
      <c r="N33" s="37">
        <f t="shared" ref="N33" si="224">((0.8)*(1000))/(2)</f>
        <v>400</v>
      </c>
      <c r="O33" s="37">
        <f t="shared" ref="O33" si="225">((1.25)*(1000))/(2)</f>
        <v>625</v>
      </c>
      <c r="P33" s="37">
        <f t="shared" ref="P33" si="226">((2)*(1000))/(2)</f>
        <v>1000</v>
      </c>
      <c r="Q33" s="37">
        <f t="shared" ref="Q33" si="227">((3.2)*(1000))/(2)</f>
        <v>1600</v>
      </c>
      <c r="R33" s="37">
        <f t="shared" ref="R33" si="228">((5)*(1000))/(2)</f>
        <v>2500</v>
      </c>
      <c r="S33" s="37">
        <f t="shared" ref="S33" si="229">((8)*(1000))/(2)</f>
        <v>4000</v>
      </c>
      <c r="T33" s="37">
        <f t="shared" ref="T33" si="230">((12.5)*(1000))/(2)</f>
        <v>6250</v>
      </c>
    </row>
    <row r="34" spans="1:20" ht="16.2" thickBot="1" x14ac:dyDescent="0.35">
      <c r="A34" s="48"/>
      <c r="B34" s="50"/>
      <c r="C34" s="37">
        <f>((10)/(2))*(-1)</f>
        <v>-5</v>
      </c>
      <c r="D34" s="37">
        <f>((13)/(2))*(-1)</f>
        <v>-6.5</v>
      </c>
      <c r="E34" s="37">
        <f>((18)/(2))*(-1)</f>
        <v>-9</v>
      </c>
      <c r="F34" s="37">
        <f>((25)/(2))*(-1)</f>
        <v>-12.5</v>
      </c>
      <c r="G34" s="37">
        <f>((36)/(2))*(-1)</f>
        <v>-18</v>
      </c>
      <c r="H34" s="37">
        <f>((50)/(2))*(-1)</f>
        <v>-25</v>
      </c>
      <c r="I34" s="37">
        <f>((80)/(2))*(-1)</f>
        <v>-40</v>
      </c>
      <c r="J34" s="37">
        <f>((125)/(2))*(-1)</f>
        <v>-62.5</v>
      </c>
      <c r="K34" s="37">
        <f>((200)/(2))*(-1)</f>
        <v>-100</v>
      </c>
      <c r="L34" s="37">
        <f>((320)/(2))*(-1)</f>
        <v>-160</v>
      </c>
      <c r="M34" s="37">
        <f>((500)/(2))*(-1)</f>
        <v>-250</v>
      </c>
      <c r="N34" s="37">
        <f>(((0.8)*(1000))/(2))*(-1)</f>
        <v>-400</v>
      </c>
      <c r="O34" s="37">
        <f>(((1.25)*(1000))/(2))*(-1)</f>
        <v>-625</v>
      </c>
      <c r="P34" s="37">
        <f>(((2)*(1000))/(2))*(-1)</f>
        <v>-1000</v>
      </c>
      <c r="Q34" s="37">
        <f>(((3.2)*(1000))/(2))*(-1)</f>
        <v>-1600</v>
      </c>
      <c r="R34" s="37">
        <f>(((5)*(1000))/(2))*(-1)</f>
        <v>-2500</v>
      </c>
      <c r="S34" s="37">
        <f>(((8)*(1000))/(2))*(-1)</f>
        <v>-4000</v>
      </c>
      <c r="T34" s="37">
        <f>(((12.5)*(1000))/(2))*(-1)</f>
        <v>-6250</v>
      </c>
    </row>
    <row r="35" spans="1:20" ht="16.2" thickBot="1" x14ac:dyDescent="0.35">
      <c r="A35" s="47">
        <v>800</v>
      </c>
      <c r="B35" s="79">
        <v>1000</v>
      </c>
      <c r="C35" s="37">
        <f t="shared" ref="C35" si="231">(11)/(2)</f>
        <v>5.5</v>
      </c>
      <c r="D35" s="37">
        <f t="shared" ref="D35" si="232">(15)/(2)</f>
        <v>7.5</v>
      </c>
      <c r="E35" s="37">
        <f t="shared" ref="E35" si="233">(21)/(2)</f>
        <v>10.5</v>
      </c>
      <c r="F35" s="37">
        <f t="shared" ref="F35" si="234">(28)/(2)</f>
        <v>14</v>
      </c>
      <c r="G35" s="37">
        <f t="shared" ref="G35" si="235">(40)/(2)</f>
        <v>20</v>
      </c>
      <c r="H35" s="37">
        <f t="shared" ref="H35" si="236">(56)/(2)</f>
        <v>28</v>
      </c>
      <c r="I35" s="37">
        <f t="shared" ref="I35" si="237">(90)/(2)</f>
        <v>45</v>
      </c>
      <c r="J35" s="37">
        <f t="shared" ref="J35" si="238">(140)/(2)</f>
        <v>70</v>
      </c>
      <c r="K35" s="37">
        <f t="shared" ref="K35" si="239">(230)/(2)</f>
        <v>115</v>
      </c>
      <c r="L35" s="37">
        <f t="shared" ref="L35" si="240">(360)/(2)</f>
        <v>180</v>
      </c>
      <c r="M35" s="37">
        <f t="shared" ref="M35" si="241">(560)/(2)</f>
        <v>280</v>
      </c>
      <c r="N35" s="37">
        <f t="shared" ref="N35" si="242">((0.9)*(1000))/(2)</f>
        <v>450</v>
      </c>
      <c r="O35" s="37">
        <f t="shared" ref="O35" si="243">((1.4)*(1000))/(2)</f>
        <v>700</v>
      </c>
      <c r="P35" s="37">
        <f t="shared" ref="P35" si="244">((2.3)*(1000))/(2)</f>
        <v>1150</v>
      </c>
      <c r="Q35" s="37">
        <f t="shared" ref="Q35" si="245">((3.6)*(1000))/(2)</f>
        <v>1800</v>
      </c>
      <c r="R35" s="37">
        <f t="shared" ref="R35" si="246">((5.6)*(1000))/(2)</f>
        <v>2800</v>
      </c>
      <c r="S35" s="37">
        <f t="shared" ref="S35" si="247">((9)*(1000))/(2)</f>
        <v>4500</v>
      </c>
      <c r="T35" s="37">
        <f t="shared" ref="T35" si="248">((14)*(1000))/(2)</f>
        <v>7000</v>
      </c>
    </row>
    <row r="36" spans="1:20" ht="16.2" thickBot="1" x14ac:dyDescent="0.35">
      <c r="A36" s="48"/>
      <c r="B36" s="80"/>
      <c r="C36" s="37">
        <f>((11)/(2))*(-1)</f>
        <v>-5.5</v>
      </c>
      <c r="D36" s="37">
        <f>((15)/(2))*(-1)</f>
        <v>-7.5</v>
      </c>
      <c r="E36" s="37">
        <f>((21)/(2))*(-1)</f>
        <v>-10.5</v>
      </c>
      <c r="F36" s="37">
        <f>((28)/(2))*(-1)</f>
        <v>-14</v>
      </c>
      <c r="G36" s="37">
        <f>((40)/(2))*(-1)</f>
        <v>-20</v>
      </c>
      <c r="H36" s="37">
        <f>((56)/(2))*(-1)</f>
        <v>-28</v>
      </c>
      <c r="I36" s="37">
        <f>((90)/(2))*(-1)</f>
        <v>-45</v>
      </c>
      <c r="J36" s="37">
        <f>((140)/(2))*(-1)</f>
        <v>-70</v>
      </c>
      <c r="K36" s="37">
        <f>((230)/(2))*(-1)</f>
        <v>-115</v>
      </c>
      <c r="L36" s="37">
        <f>((360)/(2))*(-1)</f>
        <v>-180</v>
      </c>
      <c r="M36" s="37">
        <f>((560)/(2))*(-1)</f>
        <v>-280</v>
      </c>
      <c r="N36" s="37">
        <f>(((0.9)*(1000))/(2))*(-1)</f>
        <v>-450</v>
      </c>
      <c r="O36" s="37">
        <f>(((1.4)*(1000))/(2))*(-1)</f>
        <v>-700</v>
      </c>
      <c r="P36" s="37">
        <f>(((2.3)*(1000))/(2))*(-1)</f>
        <v>-1150</v>
      </c>
      <c r="Q36" s="37">
        <f>(((3.6)*(1000))/(2))*(-1)</f>
        <v>-1800</v>
      </c>
      <c r="R36" s="37">
        <f>(((5.6)*(1000))/(2))*(-1)</f>
        <v>-2800</v>
      </c>
      <c r="S36" s="37">
        <f>(((9)*(1000))/(2))*(-1)</f>
        <v>-4500</v>
      </c>
      <c r="T36" s="37">
        <f>(((14)*(1000))/(2))*(-1)</f>
        <v>-7000</v>
      </c>
    </row>
    <row r="37" spans="1:20" ht="16.2" thickBot="1" x14ac:dyDescent="0.35">
      <c r="A37" s="81">
        <v>1000</v>
      </c>
      <c r="B37" s="79">
        <v>1250</v>
      </c>
      <c r="C37" s="37">
        <f t="shared" ref="C37" si="249">(13)/(2)</f>
        <v>6.5</v>
      </c>
      <c r="D37" s="37">
        <f t="shared" ref="D37" si="250">(18)/(2)</f>
        <v>9</v>
      </c>
      <c r="E37" s="37">
        <f t="shared" ref="E37" si="251">(24)/(2)</f>
        <v>12</v>
      </c>
      <c r="F37" s="37">
        <f t="shared" ref="F37" si="252">(33)/(2)</f>
        <v>16.5</v>
      </c>
      <c r="G37" s="37">
        <f t="shared" ref="G37" si="253">(47)/(2)</f>
        <v>23.5</v>
      </c>
      <c r="H37" s="37">
        <f t="shared" ref="H37" si="254">(66)/(2)</f>
        <v>33</v>
      </c>
      <c r="I37" s="37">
        <f t="shared" ref="I37" si="255">(105)/(2)</f>
        <v>52.5</v>
      </c>
      <c r="J37" s="37">
        <f t="shared" ref="J37" si="256">(165)/(2)</f>
        <v>82.5</v>
      </c>
      <c r="K37" s="37">
        <f t="shared" ref="K37" si="257">(260)/(2)</f>
        <v>130</v>
      </c>
      <c r="L37" s="37">
        <f t="shared" ref="L37" si="258">(420)/(2)</f>
        <v>210</v>
      </c>
      <c r="M37" s="37">
        <f t="shared" ref="M37" si="259">(660)/(2)</f>
        <v>330</v>
      </c>
      <c r="N37" s="37">
        <f t="shared" ref="N37" si="260">((1.05)*(1000))/(2)</f>
        <v>525</v>
      </c>
      <c r="O37" s="37">
        <f t="shared" ref="O37" si="261">((1.65)*(1000))/(2)</f>
        <v>825</v>
      </c>
      <c r="P37" s="37">
        <f t="shared" ref="P37" si="262">((2.6)*(1000))/(2)</f>
        <v>1300</v>
      </c>
      <c r="Q37" s="37">
        <f t="shared" ref="Q37" si="263">((4.2)*(1000))/(2)</f>
        <v>2100</v>
      </c>
      <c r="R37" s="37">
        <f t="shared" ref="R37" si="264">((6.6)*(1000))/(2)</f>
        <v>3300</v>
      </c>
      <c r="S37" s="37">
        <f t="shared" ref="S37" si="265">((10.5)*(1000))/(2)</f>
        <v>5250</v>
      </c>
      <c r="T37" s="37">
        <f t="shared" ref="T37" si="266">((16.5)*(1000))/(2)</f>
        <v>8250</v>
      </c>
    </row>
    <row r="38" spans="1:20" ht="16.2" thickBot="1" x14ac:dyDescent="0.35">
      <c r="A38" s="82"/>
      <c r="B38" s="80"/>
      <c r="C38" s="37">
        <f>((13)/(2))*(-1)</f>
        <v>-6.5</v>
      </c>
      <c r="D38" s="37">
        <f>((18)/(2))*(-1)</f>
        <v>-9</v>
      </c>
      <c r="E38" s="37">
        <f>((24)/(2))*(-1)</f>
        <v>-12</v>
      </c>
      <c r="F38" s="37">
        <f>((33)/(2))*(-1)</f>
        <v>-16.5</v>
      </c>
      <c r="G38" s="37">
        <f>((47)/(2))*(-1)</f>
        <v>-23.5</v>
      </c>
      <c r="H38" s="37">
        <f>((66)/(2))*(-1)</f>
        <v>-33</v>
      </c>
      <c r="I38" s="37">
        <f>((105)/(2))*(-1)</f>
        <v>-52.5</v>
      </c>
      <c r="J38" s="37">
        <f>((165)/(2))*(-1)</f>
        <v>-82.5</v>
      </c>
      <c r="K38" s="37">
        <f>((260)/(2))*(-1)</f>
        <v>-130</v>
      </c>
      <c r="L38" s="37">
        <f>((420)/(2))*(-1)</f>
        <v>-210</v>
      </c>
      <c r="M38" s="37">
        <f>((660)/(2))*(-1)</f>
        <v>-330</v>
      </c>
      <c r="N38" s="37">
        <f>(((1.05)*(1000))/(2))*(-1)</f>
        <v>-525</v>
      </c>
      <c r="O38" s="37">
        <f>(((1.65)*(1000))/(2))*(-1)</f>
        <v>-825</v>
      </c>
      <c r="P38" s="37">
        <f>(((2.6)*(1000))/(2))*(-1)</f>
        <v>-1300</v>
      </c>
      <c r="Q38" s="37">
        <f>(((4.2)*(1000))/(2))*(-1)</f>
        <v>-2100</v>
      </c>
      <c r="R38" s="37">
        <f>(((6.6)*(1000))/(2))*(-1)</f>
        <v>-3300</v>
      </c>
      <c r="S38" s="37">
        <f>(((10.5)*(1000))/(2))*(-1)</f>
        <v>-5250</v>
      </c>
      <c r="T38" s="37">
        <f>(((16.5)*(1000))/(2))*(-1)</f>
        <v>-8250</v>
      </c>
    </row>
    <row r="39" spans="1:20" ht="16.2" thickBot="1" x14ac:dyDescent="0.35">
      <c r="A39" s="81">
        <v>1250</v>
      </c>
      <c r="B39" s="79">
        <v>1600</v>
      </c>
      <c r="C39" s="37">
        <f t="shared" ref="C39" si="267">(15)/(2)</f>
        <v>7.5</v>
      </c>
      <c r="D39" s="37">
        <f t="shared" ref="D39" si="268">(21)/(2)</f>
        <v>10.5</v>
      </c>
      <c r="E39" s="37">
        <f t="shared" ref="E39" si="269">(29)/(2)</f>
        <v>14.5</v>
      </c>
      <c r="F39" s="37">
        <f t="shared" ref="F39" si="270">(39)/(2)</f>
        <v>19.5</v>
      </c>
      <c r="G39" s="37">
        <f t="shared" ref="G39" si="271">(55)/(2)</f>
        <v>27.5</v>
      </c>
      <c r="H39" s="37">
        <f t="shared" ref="H39" si="272">(78)/(2)</f>
        <v>39</v>
      </c>
      <c r="I39" s="37">
        <f t="shared" ref="I39" si="273">(125)/(2)</f>
        <v>62.5</v>
      </c>
      <c r="J39" s="37">
        <f t="shared" ref="J39" si="274">(195)/(2)</f>
        <v>97.5</v>
      </c>
      <c r="K39" s="37">
        <f t="shared" ref="K39" si="275">(310)/(2)</f>
        <v>155</v>
      </c>
      <c r="L39" s="37">
        <f t="shared" ref="L39" si="276">(500)/(2)</f>
        <v>250</v>
      </c>
      <c r="M39" s="37">
        <f t="shared" ref="M39" si="277">(780)/(2)</f>
        <v>390</v>
      </c>
      <c r="N39" s="37">
        <f t="shared" ref="N39" si="278">((1.25)*(1000))/(2)</f>
        <v>625</v>
      </c>
      <c r="O39" s="37">
        <f t="shared" ref="O39" si="279">((1.95)*(1000))/(2)</f>
        <v>975</v>
      </c>
      <c r="P39" s="37">
        <f t="shared" ref="P39" si="280">((3.1)*(1000))/(2)</f>
        <v>1550</v>
      </c>
      <c r="Q39" s="37">
        <f t="shared" ref="Q39" si="281">((5)*(1000))/(2)</f>
        <v>2500</v>
      </c>
      <c r="R39" s="37">
        <f t="shared" ref="R39" si="282">((7.8)*(1000))/(2)</f>
        <v>3900</v>
      </c>
      <c r="S39" s="37">
        <f t="shared" ref="S39" si="283">((12.5)*(1000))/(2)</f>
        <v>6250</v>
      </c>
      <c r="T39" s="37">
        <f t="shared" ref="T39" si="284">((19.5)*(1000))/(2)</f>
        <v>9750</v>
      </c>
    </row>
    <row r="40" spans="1:20" ht="16.2" thickBot="1" x14ac:dyDescent="0.35">
      <c r="A40" s="82"/>
      <c r="B40" s="80"/>
      <c r="C40" s="37">
        <f>((15)/(2))*(-1)</f>
        <v>-7.5</v>
      </c>
      <c r="D40" s="37">
        <f>((21)/(2))*(-1)</f>
        <v>-10.5</v>
      </c>
      <c r="E40" s="37">
        <f>((29)/(2))*(-1)</f>
        <v>-14.5</v>
      </c>
      <c r="F40" s="37">
        <f>((39)/(2))*(-1)</f>
        <v>-19.5</v>
      </c>
      <c r="G40" s="37">
        <f>((55)/(2))*(-1)</f>
        <v>-27.5</v>
      </c>
      <c r="H40" s="37">
        <f>((78)/(2))*(-1)</f>
        <v>-39</v>
      </c>
      <c r="I40" s="37">
        <f>((125)/(2))*(-1)</f>
        <v>-62.5</v>
      </c>
      <c r="J40" s="37">
        <f>((195)/(2))*(-1)</f>
        <v>-97.5</v>
      </c>
      <c r="K40" s="37">
        <f>((310)/(2))*(-1)</f>
        <v>-155</v>
      </c>
      <c r="L40" s="37">
        <f>((500)/(2))*(-1)</f>
        <v>-250</v>
      </c>
      <c r="M40" s="37">
        <f>((780)/(2))*(-1)</f>
        <v>-390</v>
      </c>
      <c r="N40" s="37">
        <f>(((1.25)*(1000))/(2))*(-1)</f>
        <v>-625</v>
      </c>
      <c r="O40" s="37">
        <f>(((1.95)*(1000))/(2))*(-1)</f>
        <v>-975</v>
      </c>
      <c r="P40" s="37">
        <f>(((3.1)*(1000))/(2))*(-1)</f>
        <v>-1550</v>
      </c>
      <c r="Q40" s="37">
        <f>(((5)*(1000))/(2))*(-1)</f>
        <v>-2500</v>
      </c>
      <c r="R40" s="37">
        <f>(((7.8)*(1000))/(2))*(-1)</f>
        <v>-3900</v>
      </c>
      <c r="S40" s="37">
        <f>(((12.5)*(1000))/(2))*(-1)</f>
        <v>-6250</v>
      </c>
      <c r="T40" s="37">
        <f>(((19.5)*(1000))/(2))*(-1)</f>
        <v>-9750</v>
      </c>
    </row>
    <row r="41" spans="1:20" ht="16.2" thickBot="1" x14ac:dyDescent="0.35">
      <c r="A41" s="81">
        <v>1600</v>
      </c>
      <c r="B41" s="79">
        <v>2000</v>
      </c>
      <c r="C41" s="37">
        <f>((18)/(2))</f>
        <v>9</v>
      </c>
      <c r="D41" s="37">
        <f t="shared" ref="D41" si="285">(25)/(2)</f>
        <v>12.5</v>
      </c>
      <c r="E41" s="37">
        <f t="shared" ref="E41" si="286">(35)/(2)</f>
        <v>17.5</v>
      </c>
      <c r="F41" s="37">
        <f t="shared" ref="F41" si="287">(46)/(2)</f>
        <v>23</v>
      </c>
      <c r="G41" s="37">
        <f t="shared" ref="G41" si="288">(65)/(2)</f>
        <v>32.5</v>
      </c>
      <c r="H41" s="37">
        <f t="shared" ref="H41" si="289">(92)/(2)</f>
        <v>46</v>
      </c>
      <c r="I41" s="37">
        <f t="shared" ref="I41" si="290">(150)/(2)</f>
        <v>75</v>
      </c>
      <c r="J41" s="37">
        <f t="shared" ref="J41" si="291">(230)/(2)</f>
        <v>115</v>
      </c>
      <c r="K41" s="37">
        <f t="shared" ref="K41" si="292">(370)/(2)</f>
        <v>185</v>
      </c>
      <c r="L41" s="37">
        <f t="shared" ref="L41" si="293">(600)/(2)</f>
        <v>300</v>
      </c>
      <c r="M41" s="37">
        <f t="shared" ref="M41" si="294">(920)/(2)</f>
        <v>460</v>
      </c>
      <c r="N41" s="37">
        <f t="shared" ref="N41" si="295">((1.5)*(1000))/(2)</f>
        <v>750</v>
      </c>
      <c r="O41" s="37">
        <f t="shared" ref="O41" si="296">((2.3)*(1000))/(2)</f>
        <v>1150</v>
      </c>
      <c r="P41" s="37">
        <f t="shared" ref="P41" si="297">((3.7)*(1000))/(2)</f>
        <v>1850</v>
      </c>
      <c r="Q41" s="37">
        <f t="shared" ref="Q41" si="298">((6)*(1000))/(2)</f>
        <v>3000</v>
      </c>
      <c r="R41" s="37">
        <f t="shared" ref="R41" si="299">((9.2)*(1000))/(2)</f>
        <v>4600</v>
      </c>
      <c r="S41" s="37">
        <f t="shared" ref="S41" si="300">((15)*(1000))/(2)</f>
        <v>7500</v>
      </c>
      <c r="T41" s="37">
        <f t="shared" ref="T41" si="301">((23)*(1000))/(2)</f>
        <v>11500</v>
      </c>
    </row>
    <row r="42" spans="1:20" ht="16.2" thickBot="1" x14ac:dyDescent="0.35">
      <c r="A42" s="82"/>
      <c r="B42" s="80"/>
      <c r="C42" s="37">
        <f>((18)/(2))*(-1)</f>
        <v>-9</v>
      </c>
      <c r="D42" s="37">
        <f>((25)/(2))*(-1)</f>
        <v>-12.5</v>
      </c>
      <c r="E42" s="37">
        <f>((35)/(2))*(-1)</f>
        <v>-17.5</v>
      </c>
      <c r="F42" s="37">
        <f>((46)/(2))*(-1)</f>
        <v>-23</v>
      </c>
      <c r="G42" s="37">
        <f>((65)/(2))*(-1)</f>
        <v>-32.5</v>
      </c>
      <c r="H42" s="37">
        <f>((92)/(2))*(-1)</f>
        <v>-46</v>
      </c>
      <c r="I42" s="37">
        <f>((150)/(2))*(-1)</f>
        <v>-75</v>
      </c>
      <c r="J42" s="37">
        <f>((230)/(2))*(-1)</f>
        <v>-115</v>
      </c>
      <c r="K42" s="37">
        <f>((370)/(2))*(-1)</f>
        <v>-185</v>
      </c>
      <c r="L42" s="37">
        <f>((600)/(2))*(-1)</f>
        <v>-300</v>
      </c>
      <c r="M42" s="37">
        <f>((920)/(2))*(-1)</f>
        <v>-460</v>
      </c>
      <c r="N42" s="37">
        <f>(((1.5)*(1000))/(2))*(-1)</f>
        <v>-750</v>
      </c>
      <c r="O42" s="37">
        <f>(((2.3)*(1000))/(2))*(-1)</f>
        <v>-1150</v>
      </c>
      <c r="P42" s="37">
        <f>(((3.7)*(1000))/(2))*(-1)</f>
        <v>-1850</v>
      </c>
      <c r="Q42" s="37">
        <f>(((6)*(1000))/(2))*(-1)</f>
        <v>-3000</v>
      </c>
      <c r="R42" s="37">
        <f>(((9.2)*(1000))/(2))*(-1)</f>
        <v>-4600</v>
      </c>
      <c r="S42" s="37">
        <f>(((15)*(1000))/(2))*(-1)</f>
        <v>-7500</v>
      </c>
      <c r="T42" s="37">
        <f>(((23)*(1000))/(2))*(-1)</f>
        <v>-11500</v>
      </c>
    </row>
    <row r="43" spans="1:20" ht="16.2" thickBot="1" x14ac:dyDescent="0.35">
      <c r="A43" s="81">
        <v>2000</v>
      </c>
      <c r="B43" s="79">
        <v>2500</v>
      </c>
      <c r="C43" s="37">
        <f t="shared" ref="C43" si="302">(22)/(2)</f>
        <v>11</v>
      </c>
      <c r="D43" s="37">
        <f t="shared" ref="D43" si="303">(30)/(2)</f>
        <v>15</v>
      </c>
      <c r="E43" s="37">
        <f t="shared" ref="E43" si="304">(41)/(2)</f>
        <v>20.5</v>
      </c>
      <c r="F43" s="37">
        <f t="shared" ref="F43" si="305">(55)/(2)</f>
        <v>27.5</v>
      </c>
      <c r="G43" s="37">
        <f t="shared" ref="G43" si="306">(78)/(2)</f>
        <v>39</v>
      </c>
      <c r="H43" s="37">
        <f t="shared" ref="H43" si="307">(110)/(2)</f>
        <v>55</v>
      </c>
      <c r="I43" s="37">
        <f t="shared" ref="I43" si="308">(175)/(2)</f>
        <v>87.5</v>
      </c>
      <c r="J43" s="37">
        <f t="shared" ref="J43" si="309">(280)/(2)</f>
        <v>140</v>
      </c>
      <c r="K43" s="37">
        <f t="shared" ref="K43" si="310">(440)/(2)</f>
        <v>220</v>
      </c>
      <c r="L43" s="37">
        <f t="shared" ref="L43" si="311">(700)/(2)</f>
        <v>350</v>
      </c>
      <c r="M43" s="37">
        <f t="shared" ref="M43" si="312">(1100)/(2)</f>
        <v>550</v>
      </c>
      <c r="N43" s="37">
        <f t="shared" ref="N43" si="313">((1.75)*(1000))/(2)</f>
        <v>875</v>
      </c>
      <c r="O43" s="37">
        <f t="shared" ref="O43" si="314">((2.8)*(1000))/(2)</f>
        <v>1400</v>
      </c>
      <c r="P43" s="37">
        <f t="shared" ref="P43" si="315">((4.4)*(1000))/(2)</f>
        <v>2200</v>
      </c>
      <c r="Q43" s="37">
        <f t="shared" ref="Q43" si="316">((7)*(1000))/(2)</f>
        <v>3500</v>
      </c>
      <c r="R43" s="37">
        <f t="shared" ref="R43" si="317">((11)*(1000))/(2)</f>
        <v>5500</v>
      </c>
      <c r="S43" s="37">
        <f t="shared" ref="S43" si="318">((17.5)*(1000))/(2)</f>
        <v>8750</v>
      </c>
      <c r="T43" s="37">
        <f t="shared" ref="T43" si="319">((28)*(1000))/(2)</f>
        <v>14000</v>
      </c>
    </row>
    <row r="44" spans="1:20" ht="16.2" thickBot="1" x14ac:dyDescent="0.35">
      <c r="A44" s="82"/>
      <c r="B44" s="80"/>
      <c r="C44" s="37">
        <f>((22)/(2))*(-1)</f>
        <v>-11</v>
      </c>
      <c r="D44" s="37">
        <f>((30)/(2))*(-1)</f>
        <v>-15</v>
      </c>
      <c r="E44" s="37">
        <f>((41)/(2))*(-1)</f>
        <v>-20.5</v>
      </c>
      <c r="F44" s="37">
        <f>((55)/(2))*(-1)</f>
        <v>-27.5</v>
      </c>
      <c r="G44" s="37">
        <f>((78)/(2))*(-1)</f>
        <v>-39</v>
      </c>
      <c r="H44" s="37">
        <f>((110)/(2))*(-1)</f>
        <v>-55</v>
      </c>
      <c r="I44" s="37">
        <f>((175)/(2))*(-1)</f>
        <v>-87.5</v>
      </c>
      <c r="J44" s="37">
        <f>((280)/(2))*(-1)</f>
        <v>-140</v>
      </c>
      <c r="K44" s="37">
        <f>((440)/(2))*(-1)</f>
        <v>-220</v>
      </c>
      <c r="L44" s="37">
        <f>((700)/(2))*(-1)</f>
        <v>-350</v>
      </c>
      <c r="M44" s="37">
        <f>((1100)/(2))*(-1)</f>
        <v>-550</v>
      </c>
      <c r="N44" s="37">
        <f>(((1.75)*(1000))/(2))*(-1)</f>
        <v>-875</v>
      </c>
      <c r="O44" s="37">
        <f>(((2.8)*(1000))/(2))*(-1)</f>
        <v>-1400</v>
      </c>
      <c r="P44" s="37">
        <f>(((4.4)*(1000))/(2))*(-1)</f>
        <v>-2200</v>
      </c>
      <c r="Q44" s="37">
        <f>(((7)*(1000))/(2))*(-1)</f>
        <v>-3500</v>
      </c>
      <c r="R44" s="37">
        <f>(((11)*(1000))/(2))*(-1)</f>
        <v>-5500</v>
      </c>
      <c r="S44" s="37">
        <f>(((17.5)*(1000))/(2))*(-1)</f>
        <v>-8750</v>
      </c>
      <c r="T44" s="37">
        <f>(((28)*(1000))/(2))*(-1)</f>
        <v>-14000</v>
      </c>
    </row>
    <row r="45" spans="1:20" ht="16.2" thickBot="1" x14ac:dyDescent="0.35">
      <c r="A45" s="81">
        <v>2500</v>
      </c>
      <c r="B45" s="79">
        <v>3150</v>
      </c>
      <c r="C45" s="37">
        <f t="shared" ref="C45" si="320">(26)/(2)</f>
        <v>13</v>
      </c>
      <c r="D45" s="37">
        <f t="shared" ref="D45" si="321">(36)/(2)</f>
        <v>18</v>
      </c>
      <c r="E45" s="37">
        <f t="shared" ref="E45" si="322">(50)/(2)</f>
        <v>25</v>
      </c>
      <c r="F45" s="37">
        <f t="shared" ref="F45" si="323">(68)/(2)</f>
        <v>34</v>
      </c>
      <c r="G45" s="37">
        <f t="shared" ref="G45" si="324">(96)/(2)</f>
        <v>48</v>
      </c>
      <c r="H45" s="37">
        <f t="shared" ref="H45" si="325">(135)/(2)</f>
        <v>67.5</v>
      </c>
      <c r="I45" s="37">
        <f t="shared" ref="I45" si="326">(210)/(2)</f>
        <v>105</v>
      </c>
      <c r="J45" s="37">
        <f t="shared" ref="J45" si="327">(330)/(2)</f>
        <v>165</v>
      </c>
      <c r="K45" s="37">
        <f t="shared" ref="K45" si="328">(540)/(2)</f>
        <v>270</v>
      </c>
      <c r="L45" s="37">
        <f t="shared" ref="L45" si="329">(860)/(2)</f>
        <v>430</v>
      </c>
      <c r="M45" s="37">
        <f t="shared" ref="M45" si="330">(1350)/(2)</f>
        <v>675</v>
      </c>
      <c r="N45" s="37">
        <f t="shared" ref="N45" si="331">((2.1)*(1000))/(2)</f>
        <v>1050</v>
      </c>
      <c r="O45" s="37">
        <f t="shared" ref="O45" si="332">((3.3)*(1000))/(2)</f>
        <v>1650</v>
      </c>
      <c r="P45" s="37">
        <f t="shared" ref="P45" si="333">(5.4*(1000))/(2)</f>
        <v>2700</v>
      </c>
      <c r="Q45" s="37">
        <f t="shared" ref="Q45" si="334">((8.6)*(1000))/(2)</f>
        <v>4300</v>
      </c>
      <c r="R45" s="37">
        <f t="shared" ref="R45" si="335">((13.5)*(1000))/(2)</f>
        <v>6750</v>
      </c>
      <c r="S45" s="37">
        <f t="shared" ref="S45" si="336">((21)*(1000))/(2)</f>
        <v>10500</v>
      </c>
      <c r="T45" s="37">
        <f t="shared" ref="T45" si="337">((33)*(1000))/(2)</f>
        <v>16500</v>
      </c>
    </row>
    <row r="46" spans="1:20" ht="16.2" thickBot="1" x14ac:dyDescent="0.35">
      <c r="A46" s="82"/>
      <c r="B46" s="80"/>
      <c r="C46" s="37">
        <f>((26)/(2))*(-1)</f>
        <v>-13</v>
      </c>
      <c r="D46" s="37">
        <f>((36)/(2))*(-1)</f>
        <v>-18</v>
      </c>
      <c r="E46" s="37">
        <f>((50)/(2))*(-1)</f>
        <v>-25</v>
      </c>
      <c r="F46" s="37">
        <f>((68)/(2))*(-1)</f>
        <v>-34</v>
      </c>
      <c r="G46" s="37">
        <f>((96)/(2))*(-1)</f>
        <v>-48</v>
      </c>
      <c r="H46" s="37">
        <f>((135)/(2))*(-1)</f>
        <v>-67.5</v>
      </c>
      <c r="I46" s="37">
        <f>((210)/(2))*(-1)</f>
        <v>-105</v>
      </c>
      <c r="J46" s="37">
        <f>((330)/(2))*(-1)</f>
        <v>-165</v>
      </c>
      <c r="K46" s="37">
        <f>((540)/(2))*(-1)</f>
        <v>-270</v>
      </c>
      <c r="L46" s="37">
        <f>((860)/(2))*(-1)</f>
        <v>-430</v>
      </c>
      <c r="M46" s="37">
        <f>((1350)/(2))*(-1)</f>
        <v>-675</v>
      </c>
      <c r="N46" s="37">
        <f>(((2.1)*(1000))/(2))*(-1)</f>
        <v>-1050</v>
      </c>
      <c r="O46" s="37">
        <f>(((3.3)*(1000))/(2))*(-1)</f>
        <v>-1650</v>
      </c>
      <c r="P46" s="37">
        <f>((5.4*(1000))/(2))*(-1)</f>
        <v>-2700</v>
      </c>
      <c r="Q46" s="37">
        <f>(((8.6)*(1000))/(2))*(-1)</f>
        <v>-4300</v>
      </c>
      <c r="R46" s="37">
        <f>(((13.5)*(1000))/(2))*(-1)</f>
        <v>-6750</v>
      </c>
      <c r="S46" s="37">
        <f>(((21)*(1000))/(2))*(-1)</f>
        <v>-10500</v>
      </c>
      <c r="T46" s="37">
        <f>(((33)*(1000))/(2))*(-1)</f>
        <v>-16500</v>
      </c>
    </row>
    <row r="47" spans="1:20" ht="73.2" customHeight="1" thickBot="1" x14ac:dyDescent="0.35">
      <c r="A47" s="114" t="s">
        <v>29</v>
      </c>
      <c r="B47" s="104"/>
      <c r="C47" s="104"/>
      <c r="D47" s="104"/>
      <c r="E47" s="104"/>
      <c r="F47" s="104"/>
      <c r="G47" s="104"/>
      <c r="H47" s="104"/>
      <c r="I47" s="104"/>
      <c r="J47" s="104"/>
      <c r="K47" s="104"/>
      <c r="L47" s="104"/>
      <c r="M47" s="104"/>
      <c r="N47" s="104"/>
      <c r="O47" s="104"/>
      <c r="P47" s="104"/>
      <c r="Q47" s="104"/>
      <c r="R47" s="104"/>
      <c r="S47" s="104"/>
      <c r="T47" s="115"/>
    </row>
    <row r="48" spans="1:20" ht="16.2" customHeight="1" x14ac:dyDescent="0.3">
      <c r="A48" s="114" t="s">
        <v>30</v>
      </c>
      <c r="B48" s="104"/>
      <c r="C48" s="104"/>
      <c r="D48" s="104"/>
      <c r="E48" s="104"/>
      <c r="F48" s="104"/>
      <c r="G48" s="104"/>
      <c r="H48" s="104"/>
      <c r="I48" s="104"/>
      <c r="J48" s="104"/>
      <c r="K48" s="104"/>
      <c r="L48" s="104"/>
      <c r="M48" s="104"/>
      <c r="N48" s="104"/>
      <c r="O48" s="104"/>
      <c r="P48" s="104"/>
      <c r="Q48" s="104"/>
      <c r="R48" s="104"/>
      <c r="S48" s="104"/>
      <c r="T48" s="115"/>
    </row>
    <row r="49" spans="1:20" ht="15.6" thickBot="1" x14ac:dyDescent="0.35">
      <c r="A49" s="116"/>
      <c r="B49" s="117"/>
      <c r="C49" s="117"/>
      <c r="D49" s="117"/>
      <c r="E49" s="117"/>
      <c r="F49" s="117"/>
      <c r="G49" s="117"/>
      <c r="H49" s="117"/>
      <c r="I49" s="117"/>
      <c r="J49" s="117"/>
      <c r="K49" s="117"/>
      <c r="L49" s="117"/>
      <c r="M49" s="117"/>
      <c r="N49" s="117"/>
      <c r="O49" s="117"/>
      <c r="P49" s="117"/>
      <c r="Q49" s="117"/>
      <c r="R49" s="117"/>
      <c r="S49" s="117"/>
      <c r="T49" s="118"/>
    </row>
  </sheetData>
  <mergeCells count="51">
    <mergeCell ref="A47:T47"/>
    <mergeCell ref="A48:T49"/>
    <mergeCell ref="A41:A42"/>
    <mergeCell ref="B41:B42"/>
    <mergeCell ref="A43:A44"/>
    <mergeCell ref="B43:B44"/>
    <mergeCell ref="A45:A46"/>
    <mergeCell ref="B45:B46"/>
    <mergeCell ref="A35:A36"/>
    <mergeCell ref="B35:B36"/>
    <mergeCell ref="A37:A38"/>
    <mergeCell ref="B37:B38"/>
    <mergeCell ref="A39:A40"/>
    <mergeCell ref="B39:B40"/>
    <mergeCell ref="A29:A30"/>
    <mergeCell ref="B29:B30"/>
    <mergeCell ref="A31:A32"/>
    <mergeCell ref="B31:B32"/>
    <mergeCell ref="A33:A34"/>
    <mergeCell ref="B33:B34"/>
    <mergeCell ref="A23:A24"/>
    <mergeCell ref="B23:B24"/>
    <mergeCell ref="A25:A26"/>
    <mergeCell ref="B25:B26"/>
    <mergeCell ref="A27:A28"/>
    <mergeCell ref="B27:B28"/>
    <mergeCell ref="A17:A18"/>
    <mergeCell ref="B17:B18"/>
    <mergeCell ref="A19:A20"/>
    <mergeCell ref="B19:B20"/>
    <mergeCell ref="A21:A22"/>
    <mergeCell ref="B21:B22"/>
    <mergeCell ref="A15:A16"/>
    <mergeCell ref="B15:B16"/>
    <mergeCell ref="C4:T4"/>
    <mergeCell ref="A5:A6"/>
    <mergeCell ref="B5:B6"/>
    <mergeCell ref="A7:A8"/>
    <mergeCell ref="B7:B8"/>
    <mergeCell ref="A9:A10"/>
    <mergeCell ref="B9:B10"/>
    <mergeCell ref="A11:A12"/>
    <mergeCell ref="B11:B12"/>
    <mergeCell ref="A13:A14"/>
    <mergeCell ref="B13:B14"/>
    <mergeCell ref="A1:B1"/>
    <mergeCell ref="A2:B2"/>
    <mergeCell ref="C1:T1"/>
    <mergeCell ref="A3:A4"/>
    <mergeCell ref="B3:B4"/>
    <mergeCell ref="C3:T3"/>
  </mergeCells>
  <phoneticPr fontId="7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665A2-16F8-41F3-962E-E6EEB7BB4465}">
  <dimension ref="A1:Q47"/>
  <sheetViews>
    <sheetView topLeftCell="A23" workbookViewId="0">
      <selection activeCell="S18" sqref="S18"/>
    </sheetView>
  </sheetViews>
  <sheetFormatPr defaultRowHeight="15" x14ac:dyDescent="0.3"/>
  <cols>
    <col min="1" max="1" width="9.25" bestFit="1" customWidth="1"/>
    <col min="2" max="17" width="9.125" bestFit="1" customWidth="1"/>
  </cols>
  <sheetData>
    <row r="1" spans="1:17" ht="16.2" thickTop="1" x14ac:dyDescent="0.3">
      <c r="A1" s="65" t="s">
        <v>0</v>
      </c>
      <c r="B1" s="66"/>
      <c r="C1" s="51" t="s">
        <v>31</v>
      </c>
      <c r="D1" s="52"/>
      <c r="E1" s="52"/>
      <c r="F1" s="63"/>
      <c r="G1" s="51" t="s">
        <v>32</v>
      </c>
      <c r="H1" s="52"/>
      <c r="I1" s="52"/>
      <c r="J1" s="52"/>
      <c r="K1" s="52"/>
      <c r="L1" s="52"/>
      <c r="M1" s="52"/>
      <c r="N1" s="52"/>
      <c r="O1" s="52"/>
      <c r="P1" s="52"/>
      <c r="Q1" s="53"/>
    </row>
    <row r="2" spans="1:17" ht="16.2" thickBot="1" x14ac:dyDescent="0.35">
      <c r="A2" s="61" t="s">
        <v>1</v>
      </c>
      <c r="B2" s="62"/>
      <c r="C2" s="54"/>
      <c r="D2" s="55"/>
      <c r="E2" s="55"/>
      <c r="F2" s="64"/>
      <c r="G2" s="54"/>
      <c r="H2" s="55"/>
      <c r="I2" s="55"/>
      <c r="J2" s="55"/>
      <c r="K2" s="55"/>
      <c r="L2" s="55"/>
      <c r="M2" s="55"/>
      <c r="N2" s="55"/>
      <c r="O2" s="55"/>
      <c r="P2" s="55"/>
      <c r="Q2" s="56"/>
    </row>
    <row r="3" spans="1:17" ht="16.2" thickBot="1" x14ac:dyDescent="0.35">
      <c r="A3" s="21" t="s">
        <v>3</v>
      </c>
      <c r="B3" s="39" t="s">
        <v>4</v>
      </c>
      <c r="C3" s="1">
        <v>5</v>
      </c>
      <c r="D3" s="1">
        <v>6</v>
      </c>
      <c r="E3" s="1">
        <v>7</v>
      </c>
      <c r="F3" s="1">
        <v>8</v>
      </c>
      <c r="G3" s="1">
        <v>3</v>
      </c>
      <c r="H3" s="1">
        <v>4</v>
      </c>
      <c r="I3" s="1">
        <v>5</v>
      </c>
      <c r="J3" s="1">
        <v>6</v>
      </c>
      <c r="K3" s="1">
        <v>7</v>
      </c>
      <c r="L3" s="1">
        <v>8</v>
      </c>
      <c r="M3" s="1">
        <v>9</v>
      </c>
      <c r="N3" s="1">
        <v>10</v>
      </c>
      <c r="O3" s="1">
        <v>11</v>
      </c>
      <c r="P3" s="1">
        <v>12</v>
      </c>
      <c r="Q3" s="19">
        <v>13</v>
      </c>
    </row>
    <row r="4" spans="1:17" ht="15.6" x14ac:dyDescent="0.3">
      <c r="A4" s="73" t="s">
        <v>5</v>
      </c>
      <c r="B4" s="49">
        <v>3</v>
      </c>
      <c r="C4" s="13">
        <v>2</v>
      </c>
      <c r="D4" s="23">
        <v>4</v>
      </c>
      <c r="E4" s="23">
        <v>6</v>
      </c>
      <c r="F4" s="23">
        <v>8</v>
      </c>
      <c r="G4" s="23">
        <v>2</v>
      </c>
      <c r="H4" s="23">
        <v>3</v>
      </c>
      <c r="I4" s="23">
        <v>4</v>
      </c>
      <c r="J4" s="23">
        <v>6</v>
      </c>
      <c r="K4" s="23">
        <v>10</v>
      </c>
      <c r="L4" s="23">
        <v>14</v>
      </c>
      <c r="M4" s="23">
        <v>25</v>
      </c>
      <c r="N4" s="23">
        <v>40</v>
      </c>
      <c r="O4" s="23">
        <v>60</v>
      </c>
      <c r="P4" s="23">
        <v>100</v>
      </c>
      <c r="Q4" s="24">
        <v>140</v>
      </c>
    </row>
    <row r="5" spans="1:17" ht="16.2" thickBot="1" x14ac:dyDescent="0.35">
      <c r="A5" s="74"/>
      <c r="B5" s="50"/>
      <c r="C5" s="14">
        <v>-2</v>
      </c>
      <c r="D5" s="1">
        <v>-2</v>
      </c>
      <c r="E5" s="1">
        <v>-4</v>
      </c>
      <c r="F5" s="1">
        <v>-6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9">
        <v>0</v>
      </c>
    </row>
    <row r="6" spans="1:17" ht="15.6" x14ac:dyDescent="0.3">
      <c r="A6" s="47">
        <v>3</v>
      </c>
      <c r="B6" s="49">
        <v>6</v>
      </c>
      <c r="C6" s="23">
        <v>3</v>
      </c>
      <c r="D6" s="23">
        <v>6</v>
      </c>
      <c r="E6" s="23">
        <v>8</v>
      </c>
      <c r="F6" s="75"/>
      <c r="G6" s="23">
        <v>2.5</v>
      </c>
      <c r="H6" s="23">
        <v>5</v>
      </c>
      <c r="I6" s="23">
        <v>6</v>
      </c>
      <c r="J6" s="23">
        <v>9</v>
      </c>
      <c r="K6" s="23">
        <v>13</v>
      </c>
      <c r="L6" s="23">
        <v>18</v>
      </c>
      <c r="M6" s="23">
        <v>30</v>
      </c>
      <c r="N6" s="23">
        <v>48</v>
      </c>
      <c r="O6" s="23">
        <v>75</v>
      </c>
      <c r="P6" s="23">
        <v>120</v>
      </c>
      <c r="Q6" s="24">
        <v>190</v>
      </c>
    </row>
    <row r="7" spans="1:17" ht="16.2" thickBot="1" x14ac:dyDescent="0.35">
      <c r="A7" s="48"/>
      <c r="B7" s="50"/>
      <c r="C7" s="1">
        <v>-2</v>
      </c>
      <c r="D7" s="1">
        <v>-2</v>
      </c>
      <c r="E7" s="1">
        <v>-4</v>
      </c>
      <c r="F7" s="76"/>
      <c r="G7" s="1">
        <v>0</v>
      </c>
      <c r="H7" s="1">
        <v>1</v>
      </c>
      <c r="I7" s="1">
        <v>1</v>
      </c>
      <c r="J7" s="1">
        <v>1</v>
      </c>
      <c r="K7" s="1">
        <v>1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9">
        <v>0</v>
      </c>
    </row>
    <row r="8" spans="1:17" ht="15.6" x14ac:dyDescent="0.3">
      <c r="A8" s="47">
        <v>6</v>
      </c>
      <c r="B8" s="49">
        <v>10</v>
      </c>
      <c r="C8" s="23">
        <v>4</v>
      </c>
      <c r="D8" s="23">
        <v>7</v>
      </c>
      <c r="E8" s="23">
        <v>10</v>
      </c>
      <c r="F8" s="75"/>
      <c r="G8" s="23">
        <v>2.5</v>
      </c>
      <c r="H8" s="23">
        <v>5</v>
      </c>
      <c r="I8" s="23">
        <v>7</v>
      </c>
      <c r="J8" s="23">
        <v>10</v>
      </c>
      <c r="K8" s="23">
        <v>16</v>
      </c>
      <c r="L8" s="23">
        <v>22</v>
      </c>
      <c r="M8" s="23">
        <v>36</v>
      </c>
      <c r="N8" s="23">
        <v>58</v>
      </c>
      <c r="O8" s="23">
        <v>90</v>
      </c>
      <c r="P8" s="23">
        <v>150</v>
      </c>
      <c r="Q8" s="24">
        <v>220</v>
      </c>
    </row>
    <row r="9" spans="1:17" ht="16.2" thickBot="1" x14ac:dyDescent="0.35">
      <c r="A9" s="48"/>
      <c r="B9" s="50"/>
      <c r="C9" s="1">
        <v>-2</v>
      </c>
      <c r="D9" s="1">
        <v>-2</v>
      </c>
      <c r="E9" s="1">
        <v>-5</v>
      </c>
      <c r="F9" s="76"/>
      <c r="G9" s="1">
        <v>0</v>
      </c>
      <c r="H9" s="1">
        <v>1</v>
      </c>
      <c r="I9" s="1">
        <v>1</v>
      </c>
      <c r="J9" s="1">
        <v>1</v>
      </c>
      <c r="K9" s="1">
        <v>1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9">
        <v>0</v>
      </c>
    </row>
    <row r="10" spans="1:17" ht="15.6" x14ac:dyDescent="0.3">
      <c r="A10" s="47">
        <v>10</v>
      </c>
      <c r="B10" s="49">
        <v>18</v>
      </c>
      <c r="C10" s="23">
        <v>5</v>
      </c>
      <c r="D10" s="23">
        <v>8</v>
      </c>
      <c r="E10" s="23">
        <v>12</v>
      </c>
      <c r="F10" s="75"/>
      <c r="G10" s="23">
        <v>3</v>
      </c>
      <c r="H10" s="23">
        <v>6</v>
      </c>
      <c r="I10" s="23">
        <v>9</v>
      </c>
      <c r="J10" s="23">
        <v>12</v>
      </c>
      <c r="K10" s="23">
        <v>19</v>
      </c>
      <c r="L10" s="23">
        <v>27</v>
      </c>
      <c r="M10" s="23">
        <v>43</v>
      </c>
      <c r="N10" s="23">
        <v>70</v>
      </c>
      <c r="O10" s="23">
        <v>110</v>
      </c>
      <c r="P10" s="23">
        <v>180</v>
      </c>
      <c r="Q10" s="24">
        <v>270</v>
      </c>
    </row>
    <row r="11" spans="1:17" ht="16.2" thickBot="1" x14ac:dyDescent="0.35">
      <c r="A11" s="48"/>
      <c r="B11" s="50"/>
      <c r="C11" s="1">
        <v>-3</v>
      </c>
      <c r="D11" s="1">
        <v>-3</v>
      </c>
      <c r="E11" s="1">
        <v>-6</v>
      </c>
      <c r="F11" s="76"/>
      <c r="G11" s="1">
        <v>0</v>
      </c>
      <c r="H11" s="1">
        <v>1</v>
      </c>
      <c r="I11" s="1">
        <v>1</v>
      </c>
      <c r="J11" s="1">
        <v>1</v>
      </c>
      <c r="K11" s="1">
        <v>1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9">
        <v>0</v>
      </c>
    </row>
    <row r="12" spans="1:17" ht="15.6" x14ac:dyDescent="0.3">
      <c r="A12" s="47">
        <v>18</v>
      </c>
      <c r="B12" s="49">
        <v>30</v>
      </c>
      <c r="C12" s="23">
        <v>5</v>
      </c>
      <c r="D12" s="23">
        <v>9</v>
      </c>
      <c r="E12" s="23">
        <v>13</v>
      </c>
      <c r="F12" s="75"/>
      <c r="G12" s="23">
        <v>4</v>
      </c>
      <c r="H12" s="23">
        <v>8</v>
      </c>
      <c r="I12" s="23">
        <v>11</v>
      </c>
      <c r="J12" s="23">
        <v>15</v>
      </c>
      <c r="K12" s="23">
        <v>23</v>
      </c>
      <c r="L12" s="23">
        <v>33</v>
      </c>
      <c r="M12" s="23">
        <v>52</v>
      </c>
      <c r="N12" s="23">
        <v>84</v>
      </c>
      <c r="O12" s="23">
        <v>130</v>
      </c>
      <c r="P12" s="23">
        <v>210</v>
      </c>
      <c r="Q12" s="24">
        <v>330</v>
      </c>
    </row>
    <row r="13" spans="1:17" ht="16.2" thickBot="1" x14ac:dyDescent="0.35">
      <c r="A13" s="48"/>
      <c r="B13" s="50"/>
      <c r="C13" s="1">
        <v>-4</v>
      </c>
      <c r="D13" s="1">
        <v>-4</v>
      </c>
      <c r="E13" s="1">
        <v>-8</v>
      </c>
      <c r="F13" s="76"/>
      <c r="G13" s="1">
        <v>0</v>
      </c>
      <c r="H13" s="1">
        <v>2</v>
      </c>
      <c r="I13" s="1">
        <v>2</v>
      </c>
      <c r="J13" s="1">
        <v>2</v>
      </c>
      <c r="K13" s="1">
        <v>2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9">
        <v>0</v>
      </c>
    </row>
    <row r="14" spans="1:17" ht="15.6" x14ac:dyDescent="0.3">
      <c r="A14" s="47">
        <v>30</v>
      </c>
      <c r="B14" s="49">
        <v>50</v>
      </c>
      <c r="C14" s="23">
        <v>6</v>
      </c>
      <c r="D14" s="23">
        <v>11</v>
      </c>
      <c r="E14" s="23">
        <v>15</v>
      </c>
      <c r="F14" s="75"/>
      <c r="G14" s="23">
        <v>4</v>
      </c>
      <c r="H14" s="23">
        <v>9</v>
      </c>
      <c r="I14" s="23">
        <v>13</v>
      </c>
      <c r="J14" s="23">
        <v>18</v>
      </c>
      <c r="K14" s="23">
        <v>27</v>
      </c>
      <c r="L14" s="23">
        <v>39</v>
      </c>
      <c r="M14" s="23">
        <v>62</v>
      </c>
      <c r="N14" s="23">
        <v>100</v>
      </c>
      <c r="O14" s="23">
        <v>160</v>
      </c>
      <c r="P14" s="23">
        <v>250</v>
      </c>
      <c r="Q14" s="24">
        <v>390</v>
      </c>
    </row>
    <row r="15" spans="1:17" ht="16.2" thickBot="1" x14ac:dyDescent="0.35">
      <c r="A15" s="48"/>
      <c r="B15" s="50"/>
      <c r="C15" s="1">
        <v>-5</v>
      </c>
      <c r="D15" s="1">
        <v>-5</v>
      </c>
      <c r="E15" s="1">
        <v>-10</v>
      </c>
      <c r="F15" s="76"/>
      <c r="G15" s="1">
        <v>0</v>
      </c>
      <c r="H15" s="1">
        <v>2</v>
      </c>
      <c r="I15" s="1">
        <v>2</v>
      </c>
      <c r="J15" s="1">
        <v>2</v>
      </c>
      <c r="K15" s="1">
        <v>2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9">
        <v>0</v>
      </c>
    </row>
    <row r="16" spans="1:17" ht="16.2" thickBot="1" x14ac:dyDescent="0.35">
      <c r="A16" s="47">
        <v>50</v>
      </c>
      <c r="B16" s="49">
        <v>80</v>
      </c>
      <c r="C16" s="23">
        <v>6</v>
      </c>
      <c r="D16" s="23">
        <v>12</v>
      </c>
      <c r="E16" s="23">
        <v>18</v>
      </c>
      <c r="F16" s="75"/>
      <c r="G16" s="1">
        <v>5</v>
      </c>
      <c r="H16" s="23">
        <v>10</v>
      </c>
      <c r="I16" s="23">
        <v>15</v>
      </c>
      <c r="J16" s="23">
        <v>21</v>
      </c>
      <c r="K16" s="23">
        <v>32</v>
      </c>
      <c r="L16" s="23">
        <v>46</v>
      </c>
      <c r="M16" s="23">
        <v>74</v>
      </c>
      <c r="N16" s="23">
        <v>120</v>
      </c>
      <c r="O16" s="23">
        <v>190</v>
      </c>
      <c r="P16" s="23">
        <v>300</v>
      </c>
      <c r="Q16" s="24">
        <v>460</v>
      </c>
    </row>
    <row r="17" spans="1:17" ht="16.2" thickBot="1" x14ac:dyDescent="0.35">
      <c r="A17" s="48"/>
      <c r="B17" s="50"/>
      <c r="C17" s="1">
        <v>-7</v>
      </c>
      <c r="D17" s="1">
        <v>-7</v>
      </c>
      <c r="E17" s="1">
        <v>-12</v>
      </c>
      <c r="F17" s="76"/>
      <c r="G17" s="1">
        <v>0</v>
      </c>
      <c r="H17" s="1">
        <v>2</v>
      </c>
      <c r="I17" s="1">
        <v>2</v>
      </c>
      <c r="J17" s="1">
        <v>2</v>
      </c>
      <c r="K17" s="1">
        <v>2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9">
        <v>0</v>
      </c>
    </row>
    <row r="18" spans="1:17" ht="16.2" thickBot="1" x14ac:dyDescent="0.35">
      <c r="A18" s="47">
        <v>80</v>
      </c>
      <c r="B18" s="49">
        <v>120</v>
      </c>
      <c r="C18" s="23">
        <v>6</v>
      </c>
      <c r="D18" s="23">
        <v>13</v>
      </c>
      <c r="E18" s="23">
        <v>20</v>
      </c>
      <c r="F18" s="75"/>
      <c r="G18" s="1">
        <v>6</v>
      </c>
      <c r="H18" s="23">
        <v>13</v>
      </c>
      <c r="I18" s="23">
        <v>18</v>
      </c>
      <c r="J18" s="23">
        <v>25</v>
      </c>
      <c r="K18" s="23">
        <v>38</v>
      </c>
      <c r="L18" s="23">
        <v>54</v>
      </c>
      <c r="M18" s="23">
        <v>87</v>
      </c>
      <c r="N18" s="23">
        <v>140</v>
      </c>
      <c r="O18" s="23">
        <v>220</v>
      </c>
      <c r="P18" s="23">
        <v>350</v>
      </c>
      <c r="Q18" s="24">
        <v>540</v>
      </c>
    </row>
    <row r="19" spans="1:17" ht="16.2" thickBot="1" x14ac:dyDescent="0.35">
      <c r="A19" s="48"/>
      <c r="B19" s="50"/>
      <c r="C19" s="1">
        <v>-9</v>
      </c>
      <c r="D19" s="1">
        <v>-9</v>
      </c>
      <c r="E19" s="1">
        <v>-15</v>
      </c>
      <c r="F19" s="76"/>
      <c r="G19" s="1">
        <v>0</v>
      </c>
      <c r="H19" s="1">
        <v>3</v>
      </c>
      <c r="I19" s="1">
        <v>3</v>
      </c>
      <c r="J19" s="1">
        <v>3</v>
      </c>
      <c r="K19" s="1">
        <v>3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9">
        <v>0</v>
      </c>
    </row>
    <row r="20" spans="1:17" ht="15.6" x14ac:dyDescent="0.3">
      <c r="A20" s="47">
        <v>120</v>
      </c>
      <c r="B20" s="49">
        <v>180</v>
      </c>
      <c r="C20" s="23">
        <v>7</v>
      </c>
      <c r="D20" s="23">
        <v>14</v>
      </c>
      <c r="E20" s="23">
        <v>22</v>
      </c>
      <c r="F20" s="75"/>
      <c r="G20" s="23">
        <f>0+(8)</f>
        <v>8</v>
      </c>
      <c r="H20" s="23">
        <v>15</v>
      </c>
      <c r="I20" s="23">
        <v>21</v>
      </c>
      <c r="J20" s="23">
        <v>28</v>
      </c>
      <c r="K20" s="23">
        <v>43</v>
      </c>
      <c r="L20" s="23">
        <v>63</v>
      </c>
      <c r="M20" s="23">
        <v>100</v>
      </c>
      <c r="N20" s="23">
        <v>160</v>
      </c>
      <c r="O20" s="23">
        <v>250</v>
      </c>
      <c r="P20" s="23">
        <v>400</v>
      </c>
      <c r="Q20" s="24">
        <v>630</v>
      </c>
    </row>
    <row r="21" spans="1:17" ht="16.2" thickBot="1" x14ac:dyDescent="0.35">
      <c r="A21" s="48"/>
      <c r="B21" s="50"/>
      <c r="C21" s="1">
        <v>-11</v>
      </c>
      <c r="D21" s="1">
        <v>-11</v>
      </c>
      <c r="E21" s="1">
        <v>-18</v>
      </c>
      <c r="F21" s="76"/>
      <c r="G21" s="1">
        <v>0</v>
      </c>
      <c r="H21" s="1">
        <v>3</v>
      </c>
      <c r="I21" s="1">
        <v>3</v>
      </c>
      <c r="J21" s="1">
        <v>3</v>
      </c>
      <c r="K21" s="1">
        <v>3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9">
        <v>0</v>
      </c>
    </row>
    <row r="22" spans="1:17" ht="16.2" thickBot="1" x14ac:dyDescent="0.35">
      <c r="A22" s="47">
        <v>180</v>
      </c>
      <c r="B22" s="49">
        <v>250</v>
      </c>
      <c r="C22" s="23">
        <v>7</v>
      </c>
      <c r="D22" s="23">
        <v>16</v>
      </c>
      <c r="E22" s="23">
        <v>25</v>
      </c>
      <c r="F22" s="75"/>
      <c r="G22" s="1">
        <v>10</v>
      </c>
      <c r="H22" s="23">
        <v>18</v>
      </c>
      <c r="I22" s="23">
        <v>24</v>
      </c>
      <c r="J22" s="23">
        <v>33</v>
      </c>
      <c r="K22" s="23">
        <v>50</v>
      </c>
      <c r="L22" s="23">
        <v>72</v>
      </c>
      <c r="M22" s="23">
        <v>115</v>
      </c>
      <c r="N22" s="23">
        <v>185</v>
      </c>
      <c r="O22" s="23">
        <v>290</v>
      </c>
      <c r="P22" s="23">
        <v>460</v>
      </c>
      <c r="Q22" s="24">
        <v>720</v>
      </c>
    </row>
    <row r="23" spans="1:17" ht="16.2" thickBot="1" x14ac:dyDescent="0.35">
      <c r="A23" s="48"/>
      <c r="B23" s="50"/>
      <c r="C23" s="1">
        <v>-13</v>
      </c>
      <c r="D23" s="1">
        <v>-13</v>
      </c>
      <c r="E23" s="1">
        <v>-21</v>
      </c>
      <c r="F23" s="76"/>
      <c r="G23" s="1">
        <v>0</v>
      </c>
      <c r="H23" s="1">
        <v>4</v>
      </c>
      <c r="I23" s="1">
        <v>4</v>
      </c>
      <c r="J23" s="1">
        <v>4</v>
      </c>
      <c r="K23" s="1">
        <v>4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9">
        <v>0</v>
      </c>
    </row>
    <row r="24" spans="1:17" ht="15.6" customHeight="1" thickBot="1" x14ac:dyDescent="0.35">
      <c r="A24" s="47">
        <v>250</v>
      </c>
      <c r="B24" s="49">
        <v>315</v>
      </c>
      <c r="C24" s="23">
        <v>7</v>
      </c>
      <c r="D24" s="23">
        <v>16</v>
      </c>
      <c r="E24" s="23">
        <v>26</v>
      </c>
      <c r="F24" s="75"/>
      <c r="G24" s="1">
        <v>12</v>
      </c>
      <c r="H24" s="23">
        <v>20</v>
      </c>
      <c r="I24" s="23">
        <v>27</v>
      </c>
      <c r="J24" s="23">
        <v>36</v>
      </c>
      <c r="K24" s="23">
        <v>56</v>
      </c>
      <c r="L24" s="23">
        <v>81</v>
      </c>
      <c r="M24" s="23">
        <v>130</v>
      </c>
      <c r="N24" s="23">
        <v>210</v>
      </c>
      <c r="O24" s="23">
        <v>320</v>
      </c>
      <c r="P24" s="23">
        <v>520</v>
      </c>
      <c r="Q24" s="24">
        <v>810</v>
      </c>
    </row>
    <row r="25" spans="1:17" ht="16.2" thickBot="1" x14ac:dyDescent="0.35">
      <c r="A25" s="48"/>
      <c r="B25" s="50"/>
      <c r="C25" s="1">
        <v>-16</v>
      </c>
      <c r="D25" s="1">
        <v>-16</v>
      </c>
      <c r="E25" s="1">
        <v>-26</v>
      </c>
      <c r="F25" s="76"/>
      <c r="G25" s="1">
        <v>0</v>
      </c>
      <c r="H25" s="1">
        <v>4</v>
      </c>
      <c r="I25" s="1">
        <v>4</v>
      </c>
      <c r="J25" s="1">
        <v>4</v>
      </c>
      <c r="K25" s="1">
        <v>4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9">
        <v>0</v>
      </c>
    </row>
    <row r="26" spans="1:17" ht="15.6" customHeight="1" thickBot="1" x14ac:dyDescent="0.35">
      <c r="A26" s="47">
        <v>315</v>
      </c>
      <c r="B26" s="49">
        <v>400</v>
      </c>
      <c r="C26" s="23">
        <v>7</v>
      </c>
      <c r="D26" s="23">
        <v>18</v>
      </c>
      <c r="E26" s="23">
        <v>29</v>
      </c>
      <c r="F26" s="75"/>
      <c r="G26" s="1">
        <v>13</v>
      </c>
      <c r="H26" s="23">
        <v>22</v>
      </c>
      <c r="I26" s="23">
        <v>29</v>
      </c>
      <c r="J26" s="23">
        <v>40</v>
      </c>
      <c r="K26" s="23">
        <v>61</v>
      </c>
      <c r="L26" s="23">
        <v>89</v>
      </c>
      <c r="M26" s="23">
        <v>140</v>
      </c>
      <c r="N26" s="23">
        <v>230</v>
      </c>
      <c r="O26" s="23">
        <v>360</v>
      </c>
      <c r="P26" s="23">
        <v>570</v>
      </c>
      <c r="Q26" s="24">
        <v>890</v>
      </c>
    </row>
    <row r="27" spans="1:17" ht="16.2" thickBot="1" x14ac:dyDescent="0.35">
      <c r="A27" s="48"/>
      <c r="B27" s="50"/>
      <c r="C27" s="1">
        <v>-18</v>
      </c>
      <c r="D27" s="1">
        <v>-18</v>
      </c>
      <c r="E27" s="1">
        <v>-28</v>
      </c>
      <c r="F27" s="76"/>
      <c r="G27" s="1">
        <v>0</v>
      </c>
      <c r="H27" s="1">
        <v>4</v>
      </c>
      <c r="I27" s="1">
        <v>4</v>
      </c>
      <c r="J27" s="1">
        <v>4</v>
      </c>
      <c r="K27" s="1">
        <v>4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9">
        <v>0</v>
      </c>
    </row>
    <row r="28" spans="1:17" ht="15.6" customHeight="1" thickBot="1" x14ac:dyDescent="0.35">
      <c r="A28" s="47">
        <v>400</v>
      </c>
      <c r="B28" s="49">
        <v>500</v>
      </c>
      <c r="C28" s="23">
        <v>7</v>
      </c>
      <c r="D28" s="23">
        <v>20</v>
      </c>
      <c r="E28" s="23">
        <v>31</v>
      </c>
      <c r="F28" s="75"/>
      <c r="G28" s="1">
        <v>15</v>
      </c>
      <c r="H28" s="23">
        <v>25</v>
      </c>
      <c r="I28" s="23">
        <v>32</v>
      </c>
      <c r="J28" s="23">
        <v>45</v>
      </c>
      <c r="K28" s="23">
        <v>68</v>
      </c>
      <c r="L28" s="23">
        <v>97</v>
      </c>
      <c r="M28" s="23">
        <v>155</v>
      </c>
      <c r="N28" s="23">
        <v>250</v>
      </c>
      <c r="O28" s="23">
        <v>400</v>
      </c>
      <c r="P28" s="23">
        <v>630</v>
      </c>
      <c r="Q28" s="24">
        <v>970</v>
      </c>
    </row>
    <row r="29" spans="1:17" ht="16.2" thickBot="1" x14ac:dyDescent="0.35">
      <c r="A29" s="48"/>
      <c r="B29" s="50"/>
      <c r="C29" s="1">
        <v>-20</v>
      </c>
      <c r="D29" s="1">
        <v>-20</v>
      </c>
      <c r="E29" s="1">
        <v>-32</v>
      </c>
      <c r="F29" s="76"/>
      <c r="G29" s="1">
        <v>0</v>
      </c>
      <c r="H29" s="1">
        <v>5</v>
      </c>
      <c r="I29" s="1">
        <v>5</v>
      </c>
      <c r="J29" s="1">
        <v>5</v>
      </c>
      <c r="K29" s="1">
        <v>5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9">
        <v>0</v>
      </c>
    </row>
    <row r="30" spans="1:17" ht="15.6" x14ac:dyDescent="0.3">
      <c r="A30" s="47">
        <v>500</v>
      </c>
      <c r="B30" s="49">
        <v>630</v>
      </c>
      <c r="C30" s="75"/>
      <c r="D30" s="75"/>
      <c r="E30" s="75"/>
      <c r="F30" s="75"/>
      <c r="G30" s="23">
        <f>0+(16)</f>
        <v>16</v>
      </c>
      <c r="H30" s="23">
        <f>0+(22)</f>
        <v>22</v>
      </c>
      <c r="I30" s="23">
        <f>0+(32)</f>
        <v>32</v>
      </c>
      <c r="J30" s="23">
        <v>44</v>
      </c>
      <c r="K30" s="23">
        <v>70</v>
      </c>
      <c r="L30" s="23">
        <v>110</v>
      </c>
      <c r="M30" s="23">
        <v>175</v>
      </c>
      <c r="N30" s="23">
        <v>280</v>
      </c>
      <c r="O30" s="23">
        <v>440</v>
      </c>
      <c r="P30" s="23">
        <v>700</v>
      </c>
      <c r="Q30" s="40">
        <v>1100</v>
      </c>
    </row>
    <row r="31" spans="1:17" ht="16.2" thickBot="1" x14ac:dyDescent="0.35">
      <c r="A31" s="48"/>
      <c r="B31" s="50"/>
      <c r="C31" s="76"/>
      <c r="D31" s="76"/>
      <c r="E31" s="76"/>
      <c r="F31" s="76"/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9">
        <v>0</v>
      </c>
    </row>
    <row r="32" spans="1:17" ht="15.6" x14ac:dyDescent="0.3">
      <c r="A32" s="47">
        <v>630</v>
      </c>
      <c r="B32" s="49">
        <v>800</v>
      </c>
      <c r="C32" s="75"/>
      <c r="D32" s="75"/>
      <c r="E32" s="75"/>
      <c r="F32" s="75"/>
      <c r="G32" s="23">
        <f>0+(18)</f>
        <v>18</v>
      </c>
      <c r="H32" s="23">
        <f>0+(25)</f>
        <v>25</v>
      </c>
      <c r="I32" s="23">
        <f>0+(36)</f>
        <v>36</v>
      </c>
      <c r="J32" s="23">
        <v>50</v>
      </c>
      <c r="K32" s="23">
        <v>80</v>
      </c>
      <c r="L32" s="23">
        <v>125</v>
      </c>
      <c r="M32" s="23">
        <v>200</v>
      </c>
      <c r="N32" s="23">
        <v>320</v>
      </c>
      <c r="O32" s="23">
        <v>500</v>
      </c>
      <c r="P32" s="23">
        <v>800</v>
      </c>
      <c r="Q32" s="40">
        <v>1250</v>
      </c>
    </row>
    <row r="33" spans="1:17" ht="16.2" thickBot="1" x14ac:dyDescent="0.35">
      <c r="A33" s="48"/>
      <c r="B33" s="50"/>
      <c r="C33" s="76"/>
      <c r="D33" s="76"/>
      <c r="E33" s="76"/>
      <c r="F33" s="76"/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9">
        <v>0</v>
      </c>
    </row>
    <row r="34" spans="1:17" ht="15.6" x14ac:dyDescent="0.3">
      <c r="A34" s="47">
        <v>800</v>
      </c>
      <c r="B34" s="79">
        <v>1000</v>
      </c>
      <c r="C34" s="75"/>
      <c r="D34" s="75"/>
      <c r="E34" s="75"/>
      <c r="F34" s="75"/>
      <c r="G34" s="23">
        <f>0+(21)</f>
        <v>21</v>
      </c>
      <c r="H34" s="23">
        <f>0+(28)</f>
        <v>28</v>
      </c>
      <c r="I34" s="23">
        <f>0+(40)</f>
        <v>40</v>
      </c>
      <c r="J34" s="23">
        <v>56</v>
      </c>
      <c r="K34" s="23">
        <v>90</v>
      </c>
      <c r="L34" s="23">
        <v>140</v>
      </c>
      <c r="M34" s="23">
        <v>230</v>
      </c>
      <c r="N34" s="23">
        <v>360</v>
      </c>
      <c r="O34" s="23">
        <v>560</v>
      </c>
      <c r="P34" s="23">
        <v>900</v>
      </c>
      <c r="Q34" s="40">
        <v>1400</v>
      </c>
    </row>
    <row r="35" spans="1:17" ht="16.2" thickBot="1" x14ac:dyDescent="0.35">
      <c r="A35" s="48"/>
      <c r="B35" s="80"/>
      <c r="C35" s="76"/>
      <c r="D35" s="76"/>
      <c r="E35" s="76"/>
      <c r="F35" s="76"/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9">
        <v>0</v>
      </c>
    </row>
    <row r="36" spans="1:17" ht="15.6" x14ac:dyDescent="0.3">
      <c r="A36" s="81">
        <v>1000</v>
      </c>
      <c r="B36" s="79">
        <v>1250</v>
      </c>
      <c r="C36" s="75"/>
      <c r="D36" s="75"/>
      <c r="E36" s="75"/>
      <c r="F36" s="75"/>
      <c r="G36" s="23">
        <f>0+(24)</f>
        <v>24</v>
      </c>
      <c r="H36" s="23">
        <f>0+(33)</f>
        <v>33</v>
      </c>
      <c r="I36" s="23">
        <f>0+(47)</f>
        <v>47</v>
      </c>
      <c r="J36" s="23">
        <v>66</v>
      </c>
      <c r="K36" s="23">
        <v>105</v>
      </c>
      <c r="L36" s="23">
        <v>165</v>
      </c>
      <c r="M36" s="23">
        <v>260</v>
      </c>
      <c r="N36" s="23">
        <v>420</v>
      </c>
      <c r="O36" s="23">
        <v>660</v>
      </c>
      <c r="P36" s="41">
        <v>1050</v>
      </c>
      <c r="Q36" s="40">
        <v>1650</v>
      </c>
    </row>
    <row r="37" spans="1:17" ht="16.2" thickBot="1" x14ac:dyDescent="0.35">
      <c r="A37" s="82"/>
      <c r="B37" s="80"/>
      <c r="C37" s="76"/>
      <c r="D37" s="76"/>
      <c r="E37" s="76"/>
      <c r="F37" s="76"/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9">
        <v>0</v>
      </c>
    </row>
    <row r="38" spans="1:17" ht="15.6" x14ac:dyDescent="0.3">
      <c r="A38" s="81">
        <v>1250</v>
      </c>
      <c r="B38" s="79">
        <v>1600</v>
      </c>
      <c r="C38" s="75"/>
      <c r="D38" s="75"/>
      <c r="E38" s="75"/>
      <c r="F38" s="75"/>
      <c r="G38" s="23">
        <f>0+(29)</f>
        <v>29</v>
      </c>
      <c r="H38" s="23">
        <f>0+(39)</f>
        <v>39</v>
      </c>
      <c r="I38" s="23">
        <f>0+(55)</f>
        <v>55</v>
      </c>
      <c r="J38" s="23">
        <v>78</v>
      </c>
      <c r="K38" s="23">
        <v>125</v>
      </c>
      <c r="L38" s="23">
        <v>195</v>
      </c>
      <c r="M38" s="23">
        <v>310</v>
      </c>
      <c r="N38" s="23">
        <v>500</v>
      </c>
      <c r="O38" s="23">
        <v>780</v>
      </c>
      <c r="P38" s="41">
        <v>1250</v>
      </c>
      <c r="Q38" s="40">
        <v>1950</v>
      </c>
    </row>
    <row r="39" spans="1:17" ht="16.2" thickBot="1" x14ac:dyDescent="0.35">
      <c r="A39" s="82"/>
      <c r="B39" s="80"/>
      <c r="C39" s="76"/>
      <c r="D39" s="76"/>
      <c r="E39" s="76"/>
      <c r="F39" s="76"/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9">
        <v>0</v>
      </c>
    </row>
    <row r="40" spans="1:17" ht="15.6" x14ac:dyDescent="0.3">
      <c r="A40" s="81">
        <v>1600</v>
      </c>
      <c r="B40" s="79">
        <v>2000</v>
      </c>
      <c r="C40" s="75"/>
      <c r="D40" s="75"/>
      <c r="E40" s="75"/>
      <c r="F40" s="75"/>
      <c r="G40" s="23">
        <f>0+(35)</f>
        <v>35</v>
      </c>
      <c r="H40" s="23">
        <f>0+(46)</f>
        <v>46</v>
      </c>
      <c r="I40" s="23">
        <f>0+(65)</f>
        <v>65</v>
      </c>
      <c r="J40" s="23">
        <v>92</v>
      </c>
      <c r="K40" s="23">
        <v>150</v>
      </c>
      <c r="L40" s="23">
        <v>230</v>
      </c>
      <c r="M40" s="23">
        <v>370</v>
      </c>
      <c r="N40" s="23">
        <v>600</v>
      </c>
      <c r="O40" s="23">
        <v>920</v>
      </c>
      <c r="P40" s="41">
        <v>1500</v>
      </c>
      <c r="Q40" s="40">
        <v>2300</v>
      </c>
    </row>
    <row r="41" spans="1:17" ht="16.2" thickBot="1" x14ac:dyDescent="0.35">
      <c r="A41" s="82"/>
      <c r="B41" s="80"/>
      <c r="C41" s="76"/>
      <c r="D41" s="76"/>
      <c r="E41" s="76"/>
      <c r="F41" s="76"/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9">
        <v>0</v>
      </c>
    </row>
    <row r="42" spans="1:17" ht="15.6" x14ac:dyDescent="0.3">
      <c r="A42" s="81">
        <v>2000</v>
      </c>
      <c r="B42" s="79">
        <v>2500</v>
      </c>
      <c r="C42" s="75"/>
      <c r="D42" s="75"/>
      <c r="E42" s="75"/>
      <c r="F42" s="75"/>
      <c r="G42" s="23">
        <f>0+(41)</f>
        <v>41</v>
      </c>
      <c r="H42" s="23">
        <f>0+(55)</f>
        <v>55</v>
      </c>
      <c r="I42" s="23">
        <f>0+(78)</f>
        <v>78</v>
      </c>
      <c r="J42" s="23">
        <v>110</v>
      </c>
      <c r="K42" s="23">
        <v>175</v>
      </c>
      <c r="L42" s="23">
        <v>280</v>
      </c>
      <c r="M42" s="23">
        <v>440</v>
      </c>
      <c r="N42" s="23">
        <v>700</v>
      </c>
      <c r="O42" s="41">
        <v>1100</v>
      </c>
      <c r="P42" s="41">
        <v>1750</v>
      </c>
      <c r="Q42" s="40">
        <v>2800</v>
      </c>
    </row>
    <row r="43" spans="1:17" ht="16.2" thickBot="1" x14ac:dyDescent="0.35">
      <c r="A43" s="82"/>
      <c r="B43" s="80"/>
      <c r="C43" s="76"/>
      <c r="D43" s="76"/>
      <c r="E43" s="76"/>
      <c r="F43" s="76"/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9">
        <v>0</v>
      </c>
    </row>
    <row r="44" spans="1:17" ht="15.6" x14ac:dyDescent="0.3">
      <c r="A44" s="81">
        <v>2500</v>
      </c>
      <c r="B44" s="79">
        <v>3150</v>
      </c>
      <c r="C44" s="75"/>
      <c r="D44" s="75"/>
      <c r="E44" s="75"/>
      <c r="F44" s="75"/>
      <c r="G44" s="23">
        <f>0+(50)</f>
        <v>50</v>
      </c>
      <c r="H44" s="23">
        <f>0+(68)</f>
        <v>68</v>
      </c>
      <c r="I44" s="23">
        <f>0+(96)</f>
        <v>96</v>
      </c>
      <c r="J44" s="23">
        <v>135</v>
      </c>
      <c r="K44" s="23">
        <v>210</v>
      </c>
      <c r="L44" s="23">
        <v>330</v>
      </c>
      <c r="M44" s="23">
        <v>540</v>
      </c>
      <c r="N44" s="23">
        <v>860</v>
      </c>
      <c r="O44" s="41">
        <v>1350</v>
      </c>
      <c r="P44" s="41">
        <v>2100</v>
      </c>
      <c r="Q44" s="40">
        <v>3300</v>
      </c>
    </row>
    <row r="45" spans="1:17" ht="16.2" thickBot="1" x14ac:dyDescent="0.35">
      <c r="A45" s="82"/>
      <c r="B45" s="80"/>
      <c r="C45" s="76"/>
      <c r="D45" s="76"/>
      <c r="E45" s="76"/>
      <c r="F45" s="76"/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9">
        <v>0</v>
      </c>
    </row>
    <row r="46" spans="1:17" ht="16.2" thickBot="1" x14ac:dyDescent="0.35">
      <c r="A46" s="83" t="s">
        <v>33</v>
      </c>
      <c r="B46" s="84"/>
      <c r="C46" s="84"/>
      <c r="D46" s="84"/>
      <c r="E46" s="84"/>
      <c r="F46" s="84"/>
      <c r="G46" s="84"/>
      <c r="H46" s="84"/>
      <c r="I46" s="84"/>
      <c r="J46" s="84"/>
      <c r="K46" s="84"/>
      <c r="L46" s="84"/>
      <c r="M46" s="84"/>
      <c r="N46" s="84"/>
      <c r="O46" s="84"/>
      <c r="P46" s="84"/>
      <c r="Q46" s="85"/>
    </row>
    <row r="47" spans="1:17" ht="15.6" thickTop="1" x14ac:dyDescent="0.3"/>
  </sheetData>
  <mergeCells count="91">
    <mergeCell ref="A46:Q46"/>
    <mergeCell ref="C1:F2"/>
    <mergeCell ref="G1:Q2"/>
    <mergeCell ref="A44:A45"/>
    <mergeCell ref="B44:B45"/>
    <mergeCell ref="C44:C45"/>
    <mergeCell ref="D44:D45"/>
    <mergeCell ref="E44:E45"/>
    <mergeCell ref="F44:F45"/>
    <mergeCell ref="A42:A43"/>
    <mergeCell ref="B42:B43"/>
    <mergeCell ref="C42:C43"/>
    <mergeCell ref="D42:D43"/>
    <mergeCell ref="E42:E43"/>
    <mergeCell ref="F42:F43"/>
    <mergeCell ref="A40:A41"/>
    <mergeCell ref="B40:B41"/>
    <mergeCell ref="C40:C41"/>
    <mergeCell ref="D40:D41"/>
    <mergeCell ref="E40:E41"/>
    <mergeCell ref="F40:F41"/>
    <mergeCell ref="F38:F39"/>
    <mergeCell ref="A36:A37"/>
    <mergeCell ref="B36:B37"/>
    <mergeCell ref="C36:C37"/>
    <mergeCell ref="D36:D37"/>
    <mergeCell ref="E36:E37"/>
    <mergeCell ref="F36:F37"/>
    <mergeCell ref="A38:A39"/>
    <mergeCell ref="B38:B39"/>
    <mergeCell ref="C38:C39"/>
    <mergeCell ref="D38:D39"/>
    <mergeCell ref="E38:E39"/>
    <mergeCell ref="F34:F35"/>
    <mergeCell ref="A32:A33"/>
    <mergeCell ref="B32:B33"/>
    <mergeCell ref="C32:C33"/>
    <mergeCell ref="D32:D33"/>
    <mergeCell ref="E32:E33"/>
    <mergeCell ref="F32:F33"/>
    <mergeCell ref="A34:A35"/>
    <mergeCell ref="B34:B35"/>
    <mergeCell ref="C34:C35"/>
    <mergeCell ref="D34:D35"/>
    <mergeCell ref="E34:E35"/>
    <mergeCell ref="F30:F31"/>
    <mergeCell ref="A26:A27"/>
    <mergeCell ref="B26:B27"/>
    <mergeCell ref="F26:F27"/>
    <mergeCell ref="A28:A29"/>
    <mergeCell ref="B28:B29"/>
    <mergeCell ref="F28:F29"/>
    <mergeCell ref="A30:A31"/>
    <mergeCell ref="B30:B31"/>
    <mergeCell ref="C30:C31"/>
    <mergeCell ref="D30:D31"/>
    <mergeCell ref="E30:E31"/>
    <mergeCell ref="A24:A25"/>
    <mergeCell ref="B24:B25"/>
    <mergeCell ref="F24:F25"/>
    <mergeCell ref="A20:A21"/>
    <mergeCell ref="B20:B21"/>
    <mergeCell ref="F20:F21"/>
    <mergeCell ref="A22:A23"/>
    <mergeCell ref="B22:B23"/>
    <mergeCell ref="F22:F23"/>
    <mergeCell ref="A16:A17"/>
    <mergeCell ref="B16:B17"/>
    <mergeCell ref="F16:F17"/>
    <mergeCell ref="A18:A19"/>
    <mergeCell ref="B18:B19"/>
    <mergeCell ref="F18:F19"/>
    <mergeCell ref="A12:A13"/>
    <mergeCell ref="B12:B13"/>
    <mergeCell ref="F12:F13"/>
    <mergeCell ref="A14:A15"/>
    <mergeCell ref="B14:B15"/>
    <mergeCell ref="F14:F15"/>
    <mergeCell ref="F6:F7"/>
    <mergeCell ref="A8:A9"/>
    <mergeCell ref="B8:B9"/>
    <mergeCell ref="F8:F9"/>
    <mergeCell ref="A10:A11"/>
    <mergeCell ref="B10:B11"/>
    <mergeCell ref="F10:F11"/>
    <mergeCell ref="A1:B1"/>
    <mergeCell ref="A2:B2"/>
    <mergeCell ref="A4:A5"/>
    <mergeCell ref="B4:B5"/>
    <mergeCell ref="A6:A7"/>
    <mergeCell ref="B6:B7"/>
  </mergeCells>
  <phoneticPr fontId="7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E9D9B-13E6-4861-A98E-CE566BF00CC0}">
  <dimension ref="A1:R46"/>
  <sheetViews>
    <sheetView workbookViewId="0">
      <selection activeCell="U19" sqref="U19"/>
    </sheetView>
  </sheetViews>
  <sheetFormatPr defaultRowHeight="15" x14ac:dyDescent="0.3"/>
  <sheetData>
    <row r="1" spans="1:18" ht="16.2" thickTop="1" x14ac:dyDescent="0.3">
      <c r="A1" s="65" t="s">
        <v>0</v>
      </c>
      <c r="B1" s="66"/>
      <c r="C1" s="51" t="s">
        <v>34</v>
      </c>
      <c r="D1" s="52"/>
      <c r="E1" s="52"/>
      <c r="F1" s="52"/>
      <c r="G1" s="52"/>
      <c r="H1" s="52"/>
      <c r="I1" s="52"/>
      <c r="J1" s="63"/>
      <c r="K1" s="51" t="s">
        <v>35</v>
      </c>
      <c r="L1" s="52"/>
      <c r="M1" s="52"/>
      <c r="N1" s="52"/>
      <c r="O1" s="52"/>
      <c r="P1" s="52"/>
      <c r="Q1" s="52"/>
      <c r="R1" s="63"/>
    </row>
    <row r="2" spans="1:18" ht="16.2" thickBot="1" x14ac:dyDescent="0.35">
      <c r="A2" s="61" t="s">
        <v>1</v>
      </c>
      <c r="B2" s="62"/>
      <c r="C2" s="54"/>
      <c r="D2" s="55"/>
      <c r="E2" s="55"/>
      <c r="F2" s="55"/>
      <c r="G2" s="55"/>
      <c r="H2" s="55"/>
      <c r="I2" s="55"/>
      <c r="J2" s="64"/>
      <c r="K2" s="54"/>
      <c r="L2" s="55"/>
      <c r="M2" s="55"/>
      <c r="N2" s="55"/>
      <c r="O2" s="55"/>
      <c r="P2" s="55"/>
      <c r="Q2" s="55"/>
      <c r="R2" s="64"/>
    </row>
    <row r="3" spans="1:18" ht="16.2" thickBot="1" x14ac:dyDescent="0.35">
      <c r="A3" s="21" t="s">
        <v>3</v>
      </c>
      <c r="B3" s="20" t="s">
        <v>4</v>
      </c>
      <c r="C3" s="2">
        <v>3</v>
      </c>
      <c r="D3" s="2">
        <v>4</v>
      </c>
      <c r="E3" s="2">
        <v>5</v>
      </c>
      <c r="F3" s="2">
        <v>6</v>
      </c>
      <c r="G3" s="2">
        <v>7</v>
      </c>
      <c r="H3" s="2">
        <v>8</v>
      </c>
      <c r="I3" s="2">
        <v>9</v>
      </c>
      <c r="J3" s="2">
        <v>10</v>
      </c>
      <c r="K3" s="2">
        <v>3</v>
      </c>
      <c r="L3" s="2">
        <v>4</v>
      </c>
      <c r="M3" s="2">
        <v>5</v>
      </c>
      <c r="N3" s="2">
        <v>6</v>
      </c>
      <c r="O3" s="2">
        <v>7</v>
      </c>
      <c r="P3" s="2">
        <v>8</v>
      </c>
      <c r="Q3" s="3">
        <v>9</v>
      </c>
      <c r="R3" s="3">
        <v>10</v>
      </c>
    </row>
    <row r="4" spans="1:18" ht="16.2" thickBot="1" x14ac:dyDescent="0.35">
      <c r="A4" s="73" t="s">
        <v>5</v>
      </c>
      <c r="B4" s="49">
        <v>3</v>
      </c>
      <c r="C4" s="1">
        <f>2+(2)</f>
        <v>4</v>
      </c>
      <c r="D4" s="1">
        <f>2+(3)</f>
        <v>5</v>
      </c>
      <c r="E4" s="1">
        <f>2+(4)</f>
        <v>6</v>
      </c>
      <c r="F4" s="1">
        <f>2+(6)</f>
        <v>8</v>
      </c>
      <c r="G4" s="1">
        <f>2+(10)</f>
        <v>12</v>
      </c>
      <c r="H4" s="1">
        <f>2+(14)</f>
        <v>16</v>
      </c>
      <c r="I4" s="1">
        <f>2+(25)</f>
        <v>27</v>
      </c>
      <c r="J4" s="1">
        <f>2+(40)</f>
        <v>42</v>
      </c>
      <c r="K4" s="1">
        <f>4+(2)</f>
        <v>6</v>
      </c>
      <c r="L4" s="1">
        <f>4+(3)</f>
        <v>7</v>
      </c>
      <c r="M4" s="1">
        <f>4+(4)</f>
        <v>8</v>
      </c>
      <c r="N4" s="1">
        <f>4+(6)</f>
        <v>10</v>
      </c>
      <c r="O4" s="1">
        <f>4+(10)</f>
        <v>14</v>
      </c>
      <c r="P4" s="1">
        <f>4+(14)</f>
        <v>18</v>
      </c>
      <c r="Q4" s="1">
        <f>4+(25)</f>
        <v>29</v>
      </c>
      <c r="R4" s="1">
        <f>4+(40)</f>
        <v>44</v>
      </c>
    </row>
    <row r="5" spans="1:18" ht="16.2" thickBot="1" x14ac:dyDescent="0.35">
      <c r="A5" s="74"/>
      <c r="B5" s="50"/>
      <c r="C5" s="1">
        <v>2</v>
      </c>
      <c r="D5" s="1">
        <v>2</v>
      </c>
      <c r="E5" s="1">
        <v>2</v>
      </c>
      <c r="F5" s="1">
        <v>2</v>
      </c>
      <c r="G5" s="1">
        <v>2</v>
      </c>
      <c r="H5" s="1">
        <v>2</v>
      </c>
      <c r="I5" s="1">
        <v>2</v>
      </c>
      <c r="J5" s="1">
        <v>2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</row>
    <row r="6" spans="1:18" ht="16.2" thickBot="1" x14ac:dyDescent="0.35">
      <c r="A6" s="47">
        <v>3</v>
      </c>
      <c r="B6" s="49">
        <v>6</v>
      </c>
      <c r="C6" s="1">
        <f>4+(2.5)</f>
        <v>6.5</v>
      </c>
      <c r="D6" s="1">
        <f>4+(4)</f>
        <v>8</v>
      </c>
      <c r="E6" s="1">
        <f>4+(5)</f>
        <v>9</v>
      </c>
      <c r="F6" s="1">
        <f>4+(8)</f>
        <v>12</v>
      </c>
      <c r="G6" s="1">
        <f>4+(12)</f>
        <v>16</v>
      </c>
      <c r="H6" s="1">
        <f>4+(18)</f>
        <v>22</v>
      </c>
      <c r="I6" s="1">
        <f>4+(30)</f>
        <v>34</v>
      </c>
      <c r="J6" s="1">
        <f>4+(48)</f>
        <v>52</v>
      </c>
      <c r="K6" s="1">
        <f>8+(2.5)</f>
        <v>10.5</v>
      </c>
      <c r="L6" s="1">
        <f>8+(4)</f>
        <v>12</v>
      </c>
      <c r="M6" s="1">
        <f>8+(5)</f>
        <v>13</v>
      </c>
      <c r="N6" s="1">
        <f>8+(8)</f>
        <v>16</v>
      </c>
      <c r="O6" s="1">
        <f>8+(12)</f>
        <v>20</v>
      </c>
      <c r="P6" s="1">
        <f>8+(18)</f>
        <v>26</v>
      </c>
      <c r="Q6" s="1">
        <f>8+(30)</f>
        <v>38</v>
      </c>
      <c r="R6" s="1">
        <f>8+(48)</f>
        <v>56</v>
      </c>
    </row>
    <row r="7" spans="1:18" ht="16.2" thickBot="1" x14ac:dyDescent="0.35">
      <c r="A7" s="48"/>
      <c r="B7" s="50"/>
      <c r="C7" s="1">
        <v>4</v>
      </c>
      <c r="D7" s="1">
        <v>4</v>
      </c>
      <c r="E7" s="1">
        <v>4</v>
      </c>
      <c r="F7" s="1">
        <v>4</v>
      </c>
      <c r="G7" s="1">
        <v>4</v>
      </c>
      <c r="H7" s="1">
        <v>4</v>
      </c>
      <c r="I7" s="1">
        <v>4</v>
      </c>
      <c r="J7" s="1">
        <v>4</v>
      </c>
      <c r="K7" s="1">
        <v>8</v>
      </c>
      <c r="L7" s="1">
        <v>8</v>
      </c>
      <c r="M7" s="1">
        <v>8</v>
      </c>
      <c r="N7" s="1">
        <v>8</v>
      </c>
      <c r="O7" s="1">
        <v>8</v>
      </c>
      <c r="P7" s="1">
        <v>8</v>
      </c>
      <c r="Q7" s="1">
        <v>8</v>
      </c>
      <c r="R7" s="1">
        <v>8</v>
      </c>
    </row>
    <row r="8" spans="1:18" ht="16.2" thickBot="1" x14ac:dyDescent="0.35">
      <c r="A8" s="47">
        <v>6</v>
      </c>
      <c r="B8" s="49">
        <v>10</v>
      </c>
      <c r="C8" s="1">
        <f>6+(2.5)</f>
        <v>8.5</v>
      </c>
      <c r="D8" s="1">
        <f>6+(4)</f>
        <v>10</v>
      </c>
      <c r="E8" s="1">
        <f>6+(6)</f>
        <v>12</v>
      </c>
      <c r="F8" s="1">
        <f>6+(9)</f>
        <v>15</v>
      </c>
      <c r="G8" s="1">
        <f>6+(15)</f>
        <v>21</v>
      </c>
      <c r="H8" s="1">
        <f>6+(22)</f>
        <v>28</v>
      </c>
      <c r="I8" s="1">
        <f>6+(36)</f>
        <v>42</v>
      </c>
      <c r="J8" s="1">
        <f>6+(58)</f>
        <v>64</v>
      </c>
      <c r="K8" s="1">
        <f>10+(2.5)</f>
        <v>12.5</v>
      </c>
      <c r="L8" s="1">
        <f>10+(4)</f>
        <v>14</v>
      </c>
      <c r="M8" s="1">
        <f>10+(6)</f>
        <v>16</v>
      </c>
      <c r="N8" s="1">
        <f>10+(9)</f>
        <v>19</v>
      </c>
      <c r="O8" s="1">
        <f>10+(15)</f>
        <v>25</v>
      </c>
      <c r="P8" s="1">
        <f>10+(22)</f>
        <v>32</v>
      </c>
      <c r="Q8" s="1">
        <f>10+(36)</f>
        <v>46</v>
      </c>
      <c r="R8" s="1">
        <f>10+(58)</f>
        <v>68</v>
      </c>
    </row>
    <row r="9" spans="1:18" ht="16.2" thickBot="1" x14ac:dyDescent="0.35">
      <c r="A9" s="48"/>
      <c r="B9" s="50"/>
      <c r="C9" s="1">
        <v>6</v>
      </c>
      <c r="D9" s="1">
        <v>6</v>
      </c>
      <c r="E9" s="1">
        <v>6</v>
      </c>
      <c r="F9" s="1">
        <v>6</v>
      </c>
      <c r="G9" s="1">
        <v>6</v>
      </c>
      <c r="H9" s="1">
        <v>6</v>
      </c>
      <c r="I9" s="1">
        <v>6</v>
      </c>
      <c r="J9" s="1">
        <v>6</v>
      </c>
      <c r="K9" s="1">
        <v>10</v>
      </c>
      <c r="L9" s="1">
        <v>10</v>
      </c>
      <c r="M9" s="1">
        <v>10</v>
      </c>
      <c r="N9" s="1">
        <v>10</v>
      </c>
      <c r="O9" s="1">
        <v>10</v>
      </c>
      <c r="P9" s="1">
        <v>10</v>
      </c>
      <c r="Q9" s="1">
        <v>10</v>
      </c>
      <c r="R9" s="1">
        <v>10</v>
      </c>
    </row>
    <row r="10" spans="1:18" ht="16.2" thickBot="1" x14ac:dyDescent="0.35">
      <c r="A10" s="47">
        <v>10</v>
      </c>
      <c r="B10" s="49">
        <v>18</v>
      </c>
      <c r="C10" s="1">
        <f>7+(3)</f>
        <v>10</v>
      </c>
      <c r="D10" s="1">
        <f>7+(5)</f>
        <v>12</v>
      </c>
      <c r="E10" s="1">
        <f>7+(8)</f>
        <v>15</v>
      </c>
      <c r="F10" s="1">
        <f>7+(11)</f>
        <v>18</v>
      </c>
      <c r="G10" s="1">
        <f>7+(18)</f>
        <v>25</v>
      </c>
      <c r="H10" s="1">
        <f>7+(27)</f>
        <v>34</v>
      </c>
      <c r="I10" s="1">
        <f>7+(43)</f>
        <v>50</v>
      </c>
      <c r="J10" s="1">
        <f>7+(70)</f>
        <v>77</v>
      </c>
      <c r="K10" s="1">
        <f>12+(3)</f>
        <v>15</v>
      </c>
      <c r="L10" s="1">
        <f>12+(5)</f>
        <v>17</v>
      </c>
      <c r="M10" s="1">
        <f>12+(8)</f>
        <v>20</v>
      </c>
      <c r="N10" s="1">
        <f>12+(11)</f>
        <v>23</v>
      </c>
      <c r="O10" s="1">
        <f>12+(18)</f>
        <v>30</v>
      </c>
      <c r="P10" s="1">
        <f>12+(27)</f>
        <v>39</v>
      </c>
      <c r="Q10" s="1">
        <f>12+(43)</f>
        <v>55</v>
      </c>
      <c r="R10" s="1">
        <f>12+(70)</f>
        <v>82</v>
      </c>
    </row>
    <row r="11" spans="1:18" ht="16.2" thickBot="1" x14ac:dyDescent="0.35">
      <c r="A11" s="48"/>
      <c r="B11" s="50"/>
      <c r="C11" s="1">
        <v>7</v>
      </c>
      <c r="D11" s="1">
        <v>7</v>
      </c>
      <c r="E11" s="1">
        <v>7</v>
      </c>
      <c r="F11" s="1">
        <v>7</v>
      </c>
      <c r="G11" s="1">
        <v>7</v>
      </c>
      <c r="H11" s="1">
        <v>7</v>
      </c>
      <c r="I11" s="1">
        <v>7</v>
      </c>
      <c r="J11" s="1">
        <v>7</v>
      </c>
      <c r="K11" s="1">
        <v>12</v>
      </c>
      <c r="L11" s="1">
        <v>12</v>
      </c>
      <c r="M11" s="1">
        <v>12</v>
      </c>
      <c r="N11" s="1">
        <v>12</v>
      </c>
      <c r="O11" s="1">
        <v>12</v>
      </c>
      <c r="P11" s="1">
        <v>12</v>
      </c>
      <c r="Q11" s="1">
        <v>12</v>
      </c>
      <c r="R11" s="1">
        <v>12</v>
      </c>
    </row>
    <row r="12" spans="1:18" ht="16.2" thickBot="1" x14ac:dyDescent="0.35">
      <c r="A12" s="47">
        <v>18</v>
      </c>
      <c r="B12" s="49">
        <v>30</v>
      </c>
      <c r="C12" s="1">
        <f>8+(4)</f>
        <v>12</v>
      </c>
      <c r="D12" s="1">
        <f>8+(6)</f>
        <v>14</v>
      </c>
      <c r="E12" s="1">
        <f>8+(9)</f>
        <v>17</v>
      </c>
      <c r="F12" s="1">
        <f>8+(13)</f>
        <v>21</v>
      </c>
      <c r="G12" s="1">
        <f>8+(21)</f>
        <v>29</v>
      </c>
      <c r="H12" s="1">
        <f>8+(33)</f>
        <v>41</v>
      </c>
      <c r="I12" s="1">
        <f>8+(52)</f>
        <v>60</v>
      </c>
      <c r="J12" s="1">
        <f>8+(84)</f>
        <v>92</v>
      </c>
      <c r="K12" s="1">
        <f>15+(4)</f>
        <v>19</v>
      </c>
      <c r="L12" s="1">
        <f>15+(6)</f>
        <v>21</v>
      </c>
      <c r="M12" s="1">
        <f>15+(9)</f>
        <v>24</v>
      </c>
      <c r="N12" s="1">
        <f>15+(13)</f>
        <v>28</v>
      </c>
      <c r="O12" s="1">
        <f>15+(21)</f>
        <v>36</v>
      </c>
      <c r="P12" s="1">
        <f>15+(33)</f>
        <v>48</v>
      </c>
      <c r="Q12" s="1">
        <f>15+(52)</f>
        <v>67</v>
      </c>
      <c r="R12" s="1">
        <f>15+(84)</f>
        <v>99</v>
      </c>
    </row>
    <row r="13" spans="1:18" ht="16.2" thickBot="1" x14ac:dyDescent="0.35">
      <c r="A13" s="48"/>
      <c r="B13" s="50"/>
      <c r="C13" s="1">
        <v>8</v>
      </c>
      <c r="D13" s="1">
        <v>8</v>
      </c>
      <c r="E13" s="1">
        <v>8</v>
      </c>
      <c r="F13" s="1">
        <v>8</v>
      </c>
      <c r="G13" s="1">
        <v>8</v>
      </c>
      <c r="H13" s="1">
        <v>8</v>
      </c>
      <c r="I13" s="1">
        <v>8</v>
      </c>
      <c r="J13" s="1">
        <v>8</v>
      </c>
      <c r="K13" s="1">
        <v>15</v>
      </c>
      <c r="L13" s="1">
        <v>15</v>
      </c>
      <c r="M13" s="1">
        <v>15</v>
      </c>
      <c r="N13" s="1">
        <v>15</v>
      </c>
      <c r="O13" s="1">
        <v>15</v>
      </c>
      <c r="P13" s="1">
        <v>15</v>
      </c>
      <c r="Q13" s="1">
        <v>15</v>
      </c>
      <c r="R13" s="1">
        <v>15</v>
      </c>
    </row>
    <row r="14" spans="1:18" ht="16.2" thickBot="1" x14ac:dyDescent="0.35">
      <c r="A14" s="47">
        <v>30</v>
      </c>
      <c r="B14" s="49">
        <v>50</v>
      </c>
      <c r="C14" s="1">
        <f>9+(4)</f>
        <v>13</v>
      </c>
      <c r="D14" s="1">
        <f>9+(7)</f>
        <v>16</v>
      </c>
      <c r="E14" s="1">
        <f>9+(11)</f>
        <v>20</v>
      </c>
      <c r="F14" s="1">
        <f>9+(16)</f>
        <v>25</v>
      </c>
      <c r="G14" s="1">
        <f>9+(25)</f>
        <v>34</v>
      </c>
      <c r="H14" s="1">
        <f>9+(39)</f>
        <v>48</v>
      </c>
      <c r="I14" s="1">
        <f>9+(62)</f>
        <v>71</v>
      </c>
      <c r="J14" s="1">
        <f>9+(100)</f>
        <v>109</v>
      </c>
      <c r="K14" s="1">
        <f>17+(4)</f>
        <v>21</v>
      </c>
      <c r="L14" s="1">
        <f>17+(7)</f>
        <v>24</v>
      </c>
      <c r="M14" s="1">
        <f>17+(11)</f>
        <v>28</v>
      </c>
      <c r="N14" s="1">
        <f>17+(16)</f>
        <v>33</v>
      </c>
      <c r="O14" s="1">
        <f>17+(25)</f>
        <v>42</v>
      </c>
      <c r="P14" s="1">
        <f>17+(39)</f>
        <v>56</v>
      </c>
      <c r="Q14" s="1">
        <f>17+(62)</f>
        <v>79</v>
      </c>
      <c r="R14" s="1">
        <f>17+(100)</f>
        <v>117</v>
      </c>
    </row>
    <row r="15" spans="1:18" ht="16.2" thickBot="1" x14ac:dyDescent="0.35">
      <c r="A15" s="48"/>
      <c r="B15" s="50"/>
      <c r="C15" s="1">
        <v>9</v>
      </c>
      <c r="D15" s="1">
        <v>9</v>
      </c>
      <c r="E15" s="1">
        <v>9</v>
      </c>
      <c r="F15" s="1">
        <v>9</v>
      </c>
      <c r="G15" s="1">
        <v>9</v>
      </c>
      <c r="H15" s="1">
        <v>9</v>
      </c>
      <c r="I15" s="1">
        <v>9</v>
      </c>
      <c r="J15" s="1">
        <v>9</v>
      </c>
      <c r="K15" s="1">
        <v>17</v>
      </c>
      <c r="L15" s="1">
        <v>17</v>
      </c>
      <c r="M15" s="1">
        <v>17</v>
      </c>
      <c r="N15" s="1">
        <v>17</v>
      </c>
      <c r="O15" s="1">
        <v>17</v>
      </c>
      <c r="P15" s="1">
        <v>17</v>
      </c>
      <c r="Q15" s="1">
        <v>17</v>
      </c>
      <c r="R15" s="1">
        <v>17</v>
      </c>
    </row>
    <row r="16" spans="1:18" ht="16.2" thickBot="1" x14ac:dyDescent="0.35">
      <c r="A16" s="47">
        <v>50</v>
      </c>
      <c r="B16" s="49">
        <v>80</v>
      </c>
      <c r="C16" s="1">
        <f>11+(5)</f>
        <v>16</v>
      </c>
      <c r="D16" s="1">
        <f>11+(8)</f>
        <v>19</v>
      </c>
      <c r="E16" s="1">
        <f>11+(13)</f>
        <v>24</v>
      </c>
      <c r="F16" s="1">
        <f>11+(19)</f>
        <v>30</v>
      </c>
      <c r="G16" s="1">
        <f>11+(30)</f>
        <v>41</v>
      </c>
      <c r="H16" s="1">
        <f>11+(46)</f>
        <v>57</v>
      </c>
      <c r="I16" s="1">
        <f>11+(74)</f>
        <v>85</v>
      </c>
      <c r="J16" s="1">
        <f>11+(120)</f>
        <v>131</v>
      </c>
      <c r="K16" s="1">
        <f>20+(5)</f>
        <v>25</v>
      </c>
      <c r="L16" s="1">
        <f>20+(8)</f>
        <v>28</v>
      </c>
      <c r="M16" s="1">
        <f>20+(13)</f>
        <v>33</v>
      </c>
      <c r="N16" s="1">
        <f>20+(19)</f>
        <v>39</v>
      </c>
      <c r="O16" s="1">
        <f>20+(30)</f>
        <v>50</v>
      </c>
      <c r="P16" s="1">
        <f>20+(46)</f>
        <v>66</v>
      </c>
      <c r="Q16" s="1">
        <f>20+(74)</f>
        <v>94</v>
      </c>
      <c r="R16" s="1">
        <f>20+(120)</f>
        <v>140</v>
      </c>
    </row>
    <row r="17" spans="1:18" ht="16.2" thickBot="1" x14ac:dyDescent="0.35">
      <c r="A17" s="48"/>
      <c r="B17" s="50"/>
      <c r="C17" s="1">
        <v>11</v>
      </c>
      <c r="D17" s="1">
        <v>11</v>
      </c>
      <c r="E17" s="1">
        <v>11</v>
      </c>
      <c r="F17" s="1">
        <v>11</v>
      </c>
      <c r="G17" s="1">
        <v>11</v>
      </c>
      <c r="H17" s="1">
        <v>11</v>
      </c>
      <c r="I17" s="1">
        <v>11</v>
      </c>
      <c r="J17" s="1">
        <v>11</v>
      </c>
      <c r="K17" s="1">
        <v>20</v>
      </c>
      <c r="L17" s="1">
        <v>20</v>
      </c>
      <c r="M17" s="1">
        <v>20</v>
      </c>
      <c r="N17" s="1">
        <v>20</v>
      </c>
      <c r="O17" s="1">
        <v>20</v>
      </c>
      <c r="P17" s="1">
        <v>20</v>
      </c>
      <c r="Q17" s="1">
        <v>20</v>
      </c>
      <c r="R17" s="1">
        <v>20</v>
      </c>
    </row>
    <row r="18" spans="1:18" ht="16.2" thickBot="1" x14ac:dyDescent="0.35">
      <c r="A18" s="47">
        <v>80</v>
      </c>
      <c r="B18" s="49">
        <v>120</v>
      </c>
      <c r="C18" s="1">
        <f>13+(6)</f>
        <v>19</v>
      </c>
      <c r="D18" s="1">
        <f>13+(10)</f>
        <v>23</v>
      </c>
      <c r="E18" s="1">
        <f>13+(15)</f>
        <v>28</v>
      </c>
      <c r="F18" s="1">
        <f>13+(22)</f>
        <v>35</v>
      </c>
      <c r="G18" s="1">
        <f>13+(35)</f>
        <v>48</v>
      </c>
      <c r="H18" s="1">
        <f>13+(54)</f>
        <v>67</v>
      </c>
      <c r="I18" s="1">
        <f>13+(87)</f>
        <v>100</v>
      </c>
      <c r="J18" s="1">
        <f>13+(140)</f>
        <v>153</v>
      </c>
      <c r="K18" s="1">
        <f>23+(6)</f>
        <v>29</v>
      </c>
      <c r="L18" s="1">
        <f>23+(10)</f>
        <v>33</v>
      </c>
      <c r="M18" s="1">
        <f>23+(15)</f>
        <v>38</v>
      </c>
      <c r="N18" s="1">
        <f>23+(22)</f>
        <v>45</v>
      </c>
      <c r="O18" s="1">
        <f>23+(35)</f>
        <v>58</v>
      </c>
      <c r="P18" s="1">
        <f>23+(54)</f>
        <v>77</v>
      </c>
      <c r="Q18" s="1">
        <f>23+(87)</f>
        <v>110</v>
      </c>
      <c r="R18" s="1">
        <f>23+(140)</f>
        <v>163</v>
      </c>
    </row>
    <row r="19" spans="1:18" ht="16.2" thickBot="1" x14ac:dyDescent="0.35">
      <c r="A19" s="48"/>
      <c r="B19" s="50"/>
      <c r="C19" s="1">
        <v>13</v>
      </c>
      <c r="D19" s="1">
        <v>13</v>
      </c>
      <c r="E19" s="1">
        <v>13</v>
      </c>
      <c r="F19" s="1">
        <v>13</v>
      </c>
      <c r="G19" s="1">
        <v>13</v>
      </c>
      <c r="H19" s="1">
        <v>13</v>
      </c>
      <c r="I19" s="1">
        <v>13</v>
      </c>
      <c r="J19" s="1">
        <v>13</v>
      </c>
      <c r="K19" s="1">
        <v>23</v>
      </c>
      <c r="L19" s="1">
        <v>23</v>
      </c>
      <c r="M19" s="1">
        <v>23</v>
      </c>
      <c r="N19" s="1">
        <v>23</v>
      </c>
      <c r="O19" s="1">
        <v>23</v>
      </c>
      <c r="P19" s="1">
        <v>23</v>
      </c>
      <c r="Q19" s="1">
        <v>23</v>
      </c>
      <c r="R19" s="1">
        <v>23</v>
      </c>
    </row>
    <row r="20" spans="1:18" ht="16.2" thickBot="1" x14ac:dyDescent="0.35">
      <c r="A20" s="47">
        <v>120</v>
      </c>
      <c r="B20" s="49">
        <v>180</v>
      </c>
      <c r="C20" s="1">
        <f>15+(8)</f>
        <v>23</v>
      </c>
      <c r="D20" s="1">
        <f>15+(12)</f>
        <v>27</v>
      </c>
      <c r="E20" s="1">
        <f>15+(18)</f>
        <v>33</v>
      </c>
      <c r="F20" s="1">
        <f>15+(25)</f>
        <v>40</v>
      </c>
      <c r="G20" s="1">
        <f>15+(40)</f>
        <v>55</v>
      </c>
      <c r="H20" s="1">
        <f>15+(63)</f>
        <v>78</v>
      </c>
      <c r="I20" s="1">
        <f>15+(100)</f>
        <v>115</v>
      </c>
      <c r="J20" s="1">
        <f>15+(160)</f>
        <v>175</v>
      </c>
      <c r="K20" s="1">
        <f>27+(8)</f>
        <v>35</v>
      </c>
      <c r="L20" s="1">
        <f>27+(12)</f>
        <v>39</v>
      </c>
      <c r="M20" s="1">
        <f>27+(18)</f>
        <v>45</v>
      </c>
      <c r="N20" s="1">
        <f>27+(25)</f>
        <v>52</v>
      </c>
      <c r="O20" s="1">
        <f>27+(40)</f>
        <v>67</v>
      </c>
      <c r="P20" s="1">
        <f>27+(63)</f>
        <v>90</v>
      </c>
      <c r="Q20" s="1">
        <f>27+(100)</f>
        <v>127</v>
      </c>
      <c r="R20" s="1">
        <f>27+(160)</f>
        <v>187</v>
      </c>
    </row>
    <row r="21" spans="1:18" ht="16.2" thickBot="1" x14ac:dyDescent="0.35">
      <c r="A21" s="48"/>
      <c r="B21" s="50"/>
      <c r="C21" s="1">
        <v>15</v>
      </c>
      <c r="D21" s="1">
        <v>15</v>
      </c>
      <c r="E21" s="1">
        <v>15</v>
      </c>
      <c r="F21" s="1">
        <v>15</v>
      </c>
      <c r="G21" s="1">
        <v>15</v>
      </c>
      <c r="H21" s="1">
        <v>15</v>
      </c>
      <c r="I21" s="1">
        <v>15</v>
      </c>
      <c r="J21" s="1">
        <v>15</v>
      </c>
      <c r="K21" s="1">
        <v>27</v>
      </c>
      <c r="L21" s="1">
        <v>27</v>
      </c>
      <c r="M21" s="1">
        <v>27</v>
      </c>
      <c r="N21" s="1">
        <v>27</v>
      </c>
      <c r="O21" s="1">
        <v>27</v>
      </c>
      <c r="P21" s="1">
        <v>27</v>
      </c>
      <c r="Q21" s="1">
        <v>27</v>
      </c>
      <c r="R21" s="1">
        <v>27</v>
      </c>
    </row>
    <row r="22" spans="1:18" ht="16.2" thickBot="1" x14ac:dyDescent="0.35">
      <c r="A22" s="47">
        <v>180</v>
      </c>
      <c r="B22" s="49">
        <v>250</v>
      </c>
      <c r="C22" s="1">
        <f>17+(10)</f>
        <v>27</v>
      </c>
      <c r="D22" s="1">
        <f>17+(14)</f>
        <v>31</v>
      </c>
      <c r="E22" s="1">
        <f>17+(20)</f>
        <v>37</v>
      </c>
      <c r="F22" s="1">
        <f>17+(29)</f>
        <v>46</v>
      </c>
      <c r="G22" s="1">
        <f>17+(46)</f>
        <v>63</v>
      </c>
      <c r="H22" s="1">
        <f>17+(72)</f>
        <v>89</v>
      </c>
      <c r="I22" s="1">
        <f>17+(115)</f>
        <v>132</v>
      </c>
      <c r="J22" s="1">
        <f>17+(185)</f>
        <v>202</v>
      </c>
      <c r="K22" s="1">
        <f>31+(10)</f>
        <v>41</v>
      </c>
      <c r="L22" s="1">
        <f>31+(14)</f>
        <v>45</v>
      </c>
      <c r="M22" s="1">
        <f>31+(20)</f>
        <v>51</v>
      </c>
      <c r="N22" s="1">
        <f>31+(29)</f>
        <v>60</v>
      </c>
      <c r="O22" s="1">
        <f>31+(46)</f>
        <v>77</v>
      </c>
      <c r="P22" s="1">
        <f>31+(72)</f>
        <v>103</v>
      </c>
      <c r="Q22" s="1">
        <f>31+(115)</f>
        <v>146</v>
      </c>
      <c r="R22" s="1">
        <f>31+(185)</f>
        <v>216</v>
      </c>
    </row>
    <row r="23" spans="1:18" ht="16.2" thickBot="1" x14ac:dyDescent="0.35">
      <c r="A23" s="48"/>
      <c r="B23" s="50"/>
      <c r="C23" s="1">
        <v>17</v>
      </c>
      <c r="D23" s="1">
        <v>17</v>
      </c>
      <c r="E23" s="1">
        <v>17</v>
      </c>
      <c r="F23" s="1">
        <v>17</v>
      </c>
      <c r="G23" s="1">
        <v>17</v>
      </c>
      <c r="H23" s="1">
        <v>17</v>
      </c>
      <c r="I23" s="1">
        <v>17</v>
      </c>
      <c r="J23" s="1">
        <v>17</v>
      </c>
      <c r="K23" s="1">
        <v>31</v>
      </c>
      <c r="L23" s="1">
        <v>31</v>
      </c>
      <c r="M23" s="1">
        <v>31</v>
      </c>
      <c r="N23" s="1">
        <v>31</v>
      </c>
      <c r="O23" s="1">
        <v>31</v>
      </c>
      <c r="P23" s="1">
        <v>31</v>
      </c>
      <c r="Q23" s="1">
        <v>31</v>
      </c>
      <c r="R23" s="1">
        <v>31</v>
      </c>
    </row>
    <row r="24" spans="1:18" ht="16.2" thickBot="1" x14ac:dyDescent="0.35">
      <c r="A24" s="47">
        <v>250</v>
      </c>
      <c r="B24" s="49">
        <v>315</v>
      </c>
      <c r="C24" s="1">
        <f>20+(12)</f>
        <v>32</v>
      </c>
      <c r="D24" s="1">
        <f>20+(16)</f>
        <v>36</v>
      </c>
      <c r="E24" s="1">
        <f>20+(23)</f>
        <v>43</v>
      </c>
      <c r="F24" s="1">
        <f>20+(32)</f>
        <v>52</v>
      </c>
      <c r="G24" s="1">
        <f>20+(52)</f>
        <v>72</v>
      </c>
      <c r="H24" s="1">
        <f>20+(81)</f>
        <v>101</v>
      </c>
      <c r="I24" s="1">
        <f>20+(130)</f>
        <v>150</v>
      </c>
      <c r="J24" s="1">
        <f>20+(210)</f>
        <v>230</v>
      </c>
      <c r="K24" s="1">
        <f>34+(12)</f>
        <v>46</v>
      </c>
      <c r="L24" s="1">
        <f>34+(16)</f>
        <v>50</v>
      </c>
      <c r="M24" s="1">
        <f>34+(23)</f>
        <v>57</v>
      </c>
      <c r="N24" s="1">
        <f>34+(32)</f>
        <v>66</v>
      </c>
      <c r="O24" s="1">
        <f>34+(52)</f>
        <v>86</v>
      </c>
      <c r="P24" s="1">
        <f>34+(81)</f>
        <v>115</v>
      </c>
      <c r="Q24" s="1">
        <f>34+(130)</f>
        <v>164</v>
      </c>
      <c r="R24" s="1">
        <f>34+(210)</f>
        <v>244</v>
      </c>
    </row>
    <row r="25" spans="1:18" ht="16.2" thickBot="1" x14ac:dyDescent="0.35">
      <c r="A25" s="48"/>
      <c r="B25" s="50"/>
      <c r="C25" s="1">
        <v>20</v>
      </c>
      <c r="D25" s="1">
        <v>20</v>
      </c>
      <c r="E25" s="1">
        <v>20</v>
      </c>
      <c r="F25" s="1">
        <v>20</v>
      </c>
      <c r="G25" s="1">
        <v>20</v>
      </c>
      <c r="H25" s="1">
        <v>20</v>
      </c>
      <c r="I25" s="1">
        <v>20</v>
      </c>
      <c r="J25" s="1">
        <v>20</v>
      </c>
      <c r="K25" s="1">
        <v>34</v>
      </c>
      <c r="L25" s="1">
        <v>34</v>
      </c>
      <c r="M25" s="1">
        <v>34</v>
      </c>
      <c r="N25" s="1">
        <v>34</v>
      </c>
      <c r="O25" s="1">
        <v>34</v>
      </c>
      <c r="P25" s="1">
        <v>34</v>
      </c>
      <c r="Q25" s="1">
        <v>34</v>
      </c>
      <c r="R25" s="1">
        <v>34</v>
      </c>
    </row>
    <row r="26" spans="1:18" ht="16.2" thickBot="1" x14ac:dyDescent="0.35">
      <c r="A26" s="47">
        <v>315</v>
      </c>
      <c r="B26" s="49">
        <v>400</v>
      </c>
      <c r="C26" s="1">
        <f>21+(13)</f>
        <v>34</v>
      </c>
      <c r="D26" s="1">
        <f>21+(18)</f>
        <v>39</v>
      </c>
      <c r="E26" s="1">
        <f>21+(25)</f>
        <v>46</v>
      </c>
      <c r="F26" s="1">
        <f>21+(36)</f>
        <v>57</v>
      </c>
      <c r="G26" s="1">
        <f>21+(57)</f>
        <v>78</v>
      </c>
      <c r="H26" s="1">
        <f>21+(89)</f>
        <v>110</v>
      </c>
      <c r="I26" s="1">
        <f>21+(140)</f>
        <v>161</v>
      </c>
      <c r="J26" s="1">
        <f>21+(230)</f>
        <v>251</v>
      </c>
      <c r="K26" s="1">
        <f>37+(13)</f>
        <v>50</v>
      </c>
      <c r="L26" s="1">
        <f>37+(18)</f>
        <v>55</v>
      </c>
      <c r="M26" s="1">
        <f>37+(25)</f>
        <v>62</v>
      </c>
      <c r="N26" s="1">
        <f>37+(36)</f>
        <v>73</v>
      </c>
      <c r="O26" s="1">
        <f>37+(57)</f>
        <v>94</v>
      </c>
      <c r="P26" s="1">
        <f>37+(89)</f>
        <v>126</v>
      </c>
      <c r="Q26" s="1">
        <f>37+(140)</f>
        <v>177</v>
      </c>
      <c r="R26" s="1">
        <f>37+(230)</f>
        <v>267</v>
      </c>
    </row>
    <row r="27" spans="1:18" ht="16.2" thickBot="1" x14ac:dyDescent="0.35">
      <c r="A27" s="48"/>
      <c r="B27" s="50"/>
      <c r="C27" s="1">
        <v>21</v>
      </c>
      <c r="D27" s="1">
        <v>21</v>
      </c>
      <c r="E27" s="1">
        <v>21</v>
      </c>
      <c r="F27" s="1">
        <v>21</v>
      </c>
      <c r="G27" s="1">
        <v>21</v>
      </c>
      <c r="H27" s="1">
        <v>21</v>
      </c>
      <c r="I27" s="1">
        <v>21</v>
      </c>
      <c r="J27" s="1">
        <v>21</v>
      </c>
      <c r="K27" s="1">
        <v>37</v>
      </c>
      <c r="L27" s="1">
        <v>37</v>
      </c>
      <c r="M27" s="1">
        <v>37</v>
      </c>
      <c r="N27" s="1">
        <v>37</v>
      </c>
      <c r="O27" s="1">
        <v>37</v>
      </c>
      <c r="P27" s="1">
        <v>37</v>
      </c>
      <c r="Q27" s="1">
        <v>37</v>
      </c>
      <c r="R27" s="1">
        <v>37</v>
      </c>
    </row>
    <row r="28" spans="1:18" ht="16.2" thickBot="1" x14ac:dyDescent="0.35">
      <c r="A28" s="47">
        <v>400</v>
      </c>
      <c r="B28" s="49">
        <v>500</v>
      </c>
      <c r="C28" s="1">
        <f>23+(15)</f>
        <v>38</v>
      </c>
      <c r="D28" s="1">
        <f>23+(20)</f>
        <v>43</v>
      </c>
      <c r="E28" s="1">
        <f>23+(27)</f>
        <v>50</v>
      </c>
      <c r="F28" s="1">
        <f>23+(40)</f>
        <v>63</v>
      </c>
      <c r="G28" s="1">
        <f>23+(63)</f>
        <v>86</v>
      </c>
      <c r="H28" s="1">
        <f>23+(97)</f>
        <v>120</v>
      </c>
      <c r="I28" s="1">
        <f>23+(155)</f>
        <v>178</v>
      </c>
      <c r="J28" s="1">
        <f>23+(250)</f>
        <v>273</v>
      </c>
      <c r="K28" s="1">
        <f>40+(15)</f>
        <v>55</v>
      </c>
      <c r="L28" s="1">
        <f>40+(20)</f>
        <v>60</v>
      </c>
      <c r="M28" s="1">
        <f>40+(27)</f>
        <v>67</v>
      </c>
      <c r="N28" s="1">
        <f>40+(40)</f>
        <v>80</v>
      </c>
      <c r="O28" s="1">
        <f>40+(63)</f>
        <v>103</v>
      </c>
      <c r="P28" s="1">
        <f>40+(97)</f>
        <v>137</v>
      </c>
      <c r="Q28" s="1">
        <f>40+(155)</f>
        <v>195</v>
      </c>
      <c r="R28" s="1">
        <f>40+(250)</f>
        <v>290</v>
      </c>
    </row>
    <row r="29" spans="1:18" ht="16.2" thickBot="1" x14ac:dyDescent="0.35">
      <c r="A29" s="48"/>
      <c r="B29" s="50"/>
      <c r="C29" s="1">
        <v>23</v>
      </c>
      <c r="D29" s="1">
        <v>23</v>
      </c>
      <c r="E29" s="1">
        <v>23</v>
      </c>
      <c r="F29" s="1">
        <v>23</v>
      </c>
      <c r="G29" s="1">
        <v>23</v>
      </c>
      <c r="H29" s="1">
        <v>23</v>
      </c>
      <c r="I29" s="1">
        <v>23</v>
      </c>
      <c r="J29" s="1">
        <v>23</v>
      </c>
      <c r="K29" s="1">
        <v>40</v>
      </c>
      <c r="L29" s="1">
        <v>40</v>
      </c>
      <c r="M29" s="1">
        <v>40</v>
      </c>
      <c r="N29" s="1">
        <v>40</v>
      </c>
      <c r="O29" s="1">
        <v>40</v>
      </c>
      <c r="P29" s="1">
        <v>40</v>
      </c>
      <c r="Q29" s="1">
        <v>40</v>
      </c>
      <c r="R29" s="1">
        <v>40</v>
      </c>
    </row>
    <row r="30" spans="1:18" ht="16.2" thickBot="1" x14ac:dyDescent="0.35">
      <c r="A30" s="47">
        <v>500</v>
      </c>
      <c r="B30" s="49">
        <v>630</v>
      </c>
      <c r="C30" s="1">
        <f>26+(16)</f>
        <v>42</v>
      </c>
      <c r="D30" s="1">
        <f>26+(22)</f>
        <v>48</v>
      </c>
      <c r="E30" s="1">
        <f>26+(32)</f>
        <v>58</v>
      </c>
      <c r="F30" s="1">
        <f>26+(44)</f>
        <v>70</v>
      </c>
      <c r="G30" s="1">
        <f>26+(70)</f>
        <v>96</v>
      </c>
      <c r="H30" s="1">
        <f>26+(110)</f>
        <v>136</v>
      </c>
      <c r="I30" s="1">
        <f>26+(175)</f>
        <v>201</v>
      </c>
      <c r="J30" s="1">
        <f>26+(280)</f>
        <v>306</v>
      </c>
      <c r="K30" s="1">
        <f>44+(16)</f>
        <v>60</v>
      </c>
      <c r="L30" s="1">
        <f>44+(22)</f>
        <v>66</v>
      </c>
      <c r="M30" s="1">
        <f>44+(32)</f>
        <v>76</v>
      </c>
      <c r="N30" s="1">
        <f>44+(44)</f>
        <v>88</v>
      </c>
      <c r="O30" s="1">
        <f>44+(70)</f>
        <v>114</v>
      </c>
      <c r="P30" s="1">
        <f>44+(110)</f>
        <v>154</v>
      </c>
      <c r="Q30" s="1">
        <f>44+(175)</f>
        <v>219</v>
      </c>
      <c r="R30" s="1">
        <f>44+(280)</f>
        <v>324</v>
      </c>
    </row>
    <row r="31" spans="1:18" ht="16.2" thickBot="1" x14ac:dyDescent="0.35">
      <c r="A31" s="48"/>
      <c r="B31" s="50"/>
      <c r="C31" s="1">
        <v>26</v>
      </c>
      <c r="D31" s="1">
        <v>26</v>
      </c>
      <c r="E31" s="1">
        <v>26</v>
      </c>
      <c r="F31" s="1">
        <v>26</v>
      </c>
      <c r="G31" s="1">
        <v>26</v>
      </c>
      <c r="H31" s="1">
        <v>26</v>
      </c>
      <c r="I31" s="1">
        <v>26</v>
      </c>
      <c r="J31" s="1">
        <v>26</v>
      </c>
      <c r="K31" s="1">
        <v>44</v>
      </c>
      <c r="L31" s="1">
        <v>44</v>
      </c>
      <c r="M31" s="1">
        <v>44</v>
      </c>
      <c r="N31" s="1">
        <v>44</v>
      </c>
      <c r="O31" s="1">
        <v>44</v>
      </c>
      <c r="P31" s="1">
        <v>44</v>
      </c>
      <c r="Q31" s="1">
        <v>44</v>
      </c>
      <c r="R31" s="1">
        <v>44</v>
      </c>
    </row>
    <row r="32" spans="1:18" ht="16.2" thickBot="1" x14ac:dyDescent="0.35">
      <c r="A32" s="47">
        <v>630</v>
      </c>
      <c r="B32" s="49">
        <v>800</v>
      </c>
      <c r="C32" s="1">
        <f>30+(18)</f>
        <v>48</v>
      </c>
      <c r="D32" s="1">
        <f>30+(25)</f>
        <v>55</v>
      </c>
      <c r="E32" s="1">
        <f>30+(36)</f>
        <v>66</v>
      </c>
      <c r="F32" s="1">
        <f>30+(50)</f>
        <v>80</v>
      </c>
      <c r="G32" s="1">
        <f>30+(80)</f>
        <v>110</v>
      </c>
      <c r="H32" s="1">
        <f>30+(125)</f>
        <v>155</v>
      </c>
      <c r="I32" s="1">
        <f>30+(200)</f>
        <v>230</v>
      </c>
      <c r="J32" s="1">
        <f>30+(320)</f>
        <v>350</v>
      </c>
      <c r="K32" s="1">
        <f>50+(18)</f>
        <v>68</v>
      </c>
      <c r="L32" s="1">
        <f>50+(25)</f>
        <v>75</v>
      </c>
      <c r="M32" s="1">
        <f>50+(36)</f>
        <v>86</v>
      </c>
      <c r="N32" s="1">
        <f>50+(50)</f>
        <v>100</v>
      </c>
      <c r="O32" s="1">
        <f>50+(80)</f>
        <v>130</v>
      </c>
      <c r="P32" s="1">
        <f>50+(125)</f>
        <v>175</v>
      </c>
      <c r="Q32" s="1">
        <f>50+(200)</f>
        <v>250</v>
      </c>
      <c r="R32" s="1">
        <f>50+(320)</f>
        <v>370</v>
      </c>
    </row>
    <row r="33" spans="1:18" ht="16.2" thickBot="1" x14ac:dyDescent="0.35">
      <c r="A33" s="48"/>
      <c r="B33" s="50"/>
      <c r="C33" s="1">
        <v>30</v>
      </c>
      <c r="D33" s="1">
        <v>30</v>
      </c>
      <c r="E33" s="1">
        <v>30</v>
      </c>
      <c r="F33" s="1">
        <v>30</v>
      </c>
      <c r="G33" s="1">
        <v>30</v>
      </c>
      <c r="H33" s="1">
        <v>30</v>
      </c>
      <c r="I33" s="1">
        <v>30</v>
      </c>
      <c r="J33" s="1">
        <v>30</v>
      </c>
      <c r="K33" s="1">
        <v>50</v>
      </c>
      <c r="L33" s="1">
        <v>50</v>
      </c>
      <c r="M33" s="1">
        <v>50</v>
      </c>
      <c r="N33" s="1">
        <v>50</v>
      </c>
      <c r="O33" s="1">
        <v>50</v>
      </c>
      <c r="P33" s="1">
        <v>50</v>
      </c>
      <c r="Q33" s="1">
        <v>50</v>
      </c>
      <c r="R33" s="1">
        <v>50</v>
      </c>
    </row>
    <row r="34" spans="1:18" ht="16.2" thickBot="1" x14ac:dyDescent="0.35">
      <c r="A34" s="47">
        <v>800</v>
      </c>
      <c r="B34" s="79">
        <v>1000</v>
      </c>
      <c r="C34" s="1">
        <f>34+(21)</f>
        <v>55</v>
      </c>
      <c r="D34" s="1">
        <f>34+(28)</f>
        <v>62</v>
      </c>
      <c r="E34" s="1">
        <f>34+(40)</f>
        <v>74</v>
      </c>
      <c r="F34" s="1">
        <f>34+(56)</f>
        <v>90</v>
      </c>
      <c r="G34" s="1">
        <f>34+(90)</f>
        <v>124</v>
      </c>
      <c r="H34" s="1">
        <f>34+(140)</f>
        <v>174</v>
      </c>
      <c r="I34" s="1">
        <f>34+(230)</f>
        <v>264</v>
      </c>
      <c r="J34" s="1">
        <f>34+(360)</f>
        <v>394</v>
      </c>
      <c r="K34" s="1">
        <f>56+(21)</f>
        <v>77</v>
      </c>
      <c r="L34" s="1">
        <f>56+(28)</f>
        <v>84</v>
      </c>
      <c r="M34" s="1">
        <f>56+(40)</f>
        <v>96</v>
      </c>
      <c r="N34" s="1">
        <f>56+(56)</f>
        <v>112</v>
      </c>
      <c r="O34" s="1">
        <f>56+(90)</f>
        <v>146</v>
      </c>
      <c r="P34" s="1">
        <f>56+(140)</f>
        <v>196</v>
      </c>
      <c r="Q34" s="1">
        <f>56+(230)</f>
        <v>286</v>
      </c>
      <c r="R34" s="1">
        <f>56+(360)</f>
        <v>416</v>
      </c>
    </row>
    <row r="35" spans="1:18" ht="16.2" thickBot="1" x14ac:dyDescent="0.35">
      <c r="A35" s="48"/>
      <c r="B35" s="80"/>
      <c r="C35" s="1">
        <v>34</v>
      </c>
      <c r="D35" s="1">
        <v>34</v>
      </c>
      <c r="E35" s="1">
        <v>34</v>
      </c>
      <c r="F35" s="1">
        <v>34</v>
      </c>
      <c r="G35" s="1">
        <v>34</v>
      </c>
      <c r="H35" s="1">
        <v>34</v>
      </c>
      <c r="I35" s="1">
        <v>34</v>
      </c>
      <c r="J35" s="1">
        <v>34</v>
      </c>
      <c r="K35" s="1">
        <v>56</v>
      </c>
      <c r="L35" s="1">
        <v>56</v>
      </c>
      <c r="M35" s="1">
        <v>56</v>
      </c>
      <c r="N35" s="1">
        <v>56</v>
      </c>
      <c r="O35" s="1">
        <v>56</v>
      </c>
      <c r="P35" s="1">
        <v>56</v>
      </c>
      <c r="Q35" s="1">
        <v>56</v>
      </c>
      <c r="R35" s="1">
        <v>56</v>
      </c>
    </row>
    <row r="36" spans="1:18" ht="16.2" thickBot="1" x14ac:dyDescent="0.35">
      <c r="A36" s="81">
        <v>1000</v>
      </c>
      <c r="B36" s="79">
        <v>1250</v>
      </c>
      <c r="C36" s="1">
        <f>40+(24)</f>
        <v>64</v>
      </c>
      <c r="D36" s="1">
        <f>40+(33)</f>
        <v>73</v>
      </c>
      <c r="E36" s="1">
        <f>40+(47)</f>
        <v>87</v>
      </c>
      <c r="F36" s="1">
        <f>40+(66)</f>
        <v>106</v>
      </c>
      <c r="G36" s="1">
        <f>40+(105)</f>
        <v>145</v>
      </c>
      <c r="H36" s="1">
        <f>40+(165)</f>
        <v>205</v>
      </c>
      <c r="I36" s="1">
        <f>40+(260)</f>
        <v>300</v>
      </c>
      <c r="J36" s="1">
        <f>40+(420)</f>
        <v>460</v>
      </c>
      <c r="K36" s="1">
        <f>66+(24)</f>
        <v>90</v>
      </c>
      <c r="L36" s="1">
        <f>66+(33)</f>
        <v>99</v>
      </c>
      <c r="M36" s="1">
        <f>66+(47)</f>
        <v>113</v>
      </c>
      <c r="N36" s="1">
        <f>66+(66)</f>
        <v>132</v>
      </c>
      <c r="O36" s="1">
        <f>66+(105)</f>
        <v>171</v>
      </c>
      <c r="P36" s="1">
        <f>66+(165)</f>
        <v>231</v>
      </c>
      <c r="Q36" s="1">
        <f>66+(260)</f>
        <v>326</v>
      </c>
      <c r="R36" s="1">
        <f>66+(420)</f>
        <v>486</v>
      </c>
    </row>
    <row r="37" spans="1:18" ht="16.2" thickBot="1" x14ac:dyDescent="0.35">
      <c r="A37" s="82"/>
      <c r="B37" s="80"/>
      <c r="C37" s="1">
        <v>40</v>
      </c>
      <c r="D37" s="1">
        <v>40</v>
      </c>
      <c r="E37" s="1">
        <v>40</v>
      </c>
      <c r="F37" s="1">
        <v>40</v>
      </c>
      <c r="G37" s="1">
        <v>40</v>
      </c>
      <c r="H37" s="1">
        <v>40</v>
      </c>
      <c r="I37" s="1">
        <v>40</v>
      </c>
      <c r="J37" s="1">
        <v>40</v>
      </c>
      <c r="K37" s="1">
        <v>66</v>
      </c>
      <c r="L37" s="1">
        <v>66</v>
      </c>
      <c r="M37" s="1">
        <v>66</v>
      </c>
      <c r="N37" s="1">
        <v>66</v>
      </c>
      <c r="O37" s="1">
        <v>66</v>
      </c>
      <c r="P37" s="1">
        <v>66</v>
      </c>
      <c r="Q37" s="1">
        <v>66</v>
      </c>
      <c r="R37" s="1">
        <v>66</v>
      </c>
    </row>
    <row r="38" spans="1:18" ht="16.2" thickBot="1" x14ac:dyDescent="0.35">
      <c r="A38" s="81">
        <v>1250</v>
      </c>
      <c r="B38" s="79">
        <v>1600</v>
      </c>
      <c r="C38" s="1">
        <f>48+(29)</f>
        <v>77</v>
      </c>
      <c r="D38" s="1">
        <f>48+(39)</f>
        <v>87</v>
      </c>
      <c r="E38" s="1">
        <f>48+(55)</f>
        <v>103</v>
      </c>
      <c r="F38" s="1">
        <f>48+(78)</f>
        <v>126</v>
      </c>
      <c r="G38" s="1">
        <f>48+(125)</f>
        <v>173</v>
      </c>
      <c r="H38" s="1">
        <f>48+(195)</f>
        <v>243</v>
      </c>
      <c r="I38" s="1">
        <f>48+(310)</f>
        <v>358</v>
      </c>
      <c r="J38" s="1">
        <f>48+(500)</f>
        <v>548</v>
      </c>
      <c r="K38" s="1">
        <f>78+(29)</f>
        <v>107</v>
      </c>
      <c r="L38" s="1">
        <f>78+(39)</f>
        <v>117</v>
      </c>
      <c r="M38" s="1">
        <f>78+(55)</f>
        <v>133</v>
      </c>
      <c r="N38" s="1">
        <f>78+(78)</f>
        <v>156</v>
      </c>
      <c r="O38" s="1">
        <f>78+(125)</f>
        <v>203</v>
      </c>
      <c r="P38" s="1">
        <f>78+(195)</f>
        <v>273</v>
      </c>
      <c r="Q38" s="1">
        <f>78+(310)</f>
        <v>388</v>
      </c>
      <c r="R38" s="1">
        <f>78+(500)</f>
        <v>578</v>
      </c>
    </row>
    <row r="39" spans="1:18" ht="16.2" thickBot="1" x14ac:dyDescent="0.35">
      <c r="A39" s="82"/>
      <c r="B39" s="80"/>
      <c r="C39" s="1">
        <v>48</v>
      </c>
      <c r="D39" s="1">
        <v>48</v>
      </c>
      <c r="E39" s="1">
        <v>48</v>
      </c>
      <c r="F39" s="1">
        <v>48</v>
      </c>
      <c r="G39" s="1">
        <v>48</v>
      </c>
      <c r="H39" s="1">
        <v>48</v>
      </c>
      <c r="I39" s="1">
        <v>48</v>
      </c>
      <c r="J39" s="1">
        <v>48</v>
      </c>
      <c r="K39" s="1">
        <v>78</v>
      </c>
      <c r="L39" s="1">
        <v>78</v>
      </c>
      <c r="M39" s="1">
        <v>78</v>
      </c>
      <c r="N39" s="1">
        <v>78</v>
      </c>
      <c r="O39" s="1">
        <v>78</v>
      </c>
      <c r="P39" s="1">
        <v>78</v>
      </c>
      <c r="Q39" s="1">
        <v>78</v>
      </c>
      <c r="R39" s="1">
        <v>78</v>
      </c>
    </row>
    <row r="40" spans="1:18" ht="16.2" thickBot="1" x14ac:dyDescent="0.35">
      <c r="A40" s="81">
        <v>1600</v>
      </c>
      <c r="B40" s="79">
        <v>2000</v>
      </c>
      <c r="C40" s="1">
        <f>58+(35)</f>
        <v>93</v>
      </c>
      <c r="D40" s="1">
        <f>58+(46)</f>
        <v>104</v>
      </c>
      <c r="E40" s="1">
        <f>58+(65)</f>
        <v>123</v>
      </c>
      <c r="F40" s="1">
        <f>58+(92)</f>
        <v>150</v>
      </c>
      <c r="G40" s="1">
        <f>58+(150)</f>
        <v>208</v>
      </c>
      <c r="H40" s="1">
        <f>58+(230)</f>
        <v>288</v>
      </c>
      <c r="I40" s="1">
        <f>58+(370)</f>
        <v>428</v>
      </c>
      <c r="J40" s="1">
        <f>58+(600)</f>
        <v>658</v>
      </c>
      <c r="K40" s="1">
        <f>92+(35)</f>
        <v>127</v>
      </c>
      <c r="L40" s="1">
        <f>92+(46)</f>
        <v>138</v>
      </c>
      <c r="M40" s="1">
        <f>92+(65)</f>
        <v>157</v>
      </c>
      <c r="N40" s="1">
        <f>92+(92)</f>
        <v>184</v>
      </c>
      <c r="O40" s="1">
        <f>92+(150)</f>
        <v>242</v>
      </c>
      <c r="P40" s="1">
        <f>92+(230)</f>
        <v>322</v>
      </c>
      <c r="Q40" s="1">
        <f>92+(370)</f>
        <v>462</v>
      </c>
      <c r="R40" s="1">
        <f>92+(600)</f>
        <v>692</v>
      </c>
    </row>
    <row r="41" spans="1:18" ht="16.2" thickBot="1" x14ac:dyDescent="0.35">
      <c r="A41" s="82"/>
      <c r="B41" s="80"/>
      <c r="C41" s="1">
        <v>58</v>
      </c>
      <c r="D41" s="1">
        <v>58</v>
      </c>
      <c r="E41" s="1">
        <v>58</v>
      </c>
      <c r="F41" s="1">
        <v>58</v>
      </c>
      <c r="G41" s="1">
        <v>58</v>
      </c>
      <c r="H41" s="1">
        <v>58</v>
      </c>
      <c r="I41" s="1">
        <v>58</v>
      </c>
      <c r="J41" s="1">
        <v>58</v>
      </c>
      <c r="K41" s="1">
        <v>92</v>
      </c>
      <c r="L41" s="1">
        <v>92</v>
      </c>
      <c r="M41" s="1">
        <v>92</v>
      </c>
      <c r="N41" s="1">
        <v>92</v>
      </c>
      <c r="O41" s="1">
        <v>92</v>
      </c>
      <c r="P41" s="1">
        <v>92</v>
      </c>
      <c r="Q41" s="1">
        <v>92</v>
      </c>
      <c r="R41" s="1">
        <v>92</v>
      </c>
    </row>
    <row r="42" spans="1:18" ht="16.2" thickBot="1" x14ac:dyDescent="0.35">
      <c r="A42" s="81">
        <v>2000</v>
      </c>
      <c r="B42" s="79">
        <v>2500</v>
      </c>
      <c r="C42" s="1">
        <f>68+(41)</f>
        <v>109</v>
      </c>
      <c r="D42" s="1">
        <f>68+(55)</f>
        <v>123</v>
      </c>
      <c r="E42" s="1">
        <f>68+(78)</f>
        <v>146</v>
      </c>
      <c r="F42" s="1">
        <f>68+(110)</f>
        <v>178</v>
      </c>
      <c r="G42" s="1">
        <f>68+(175)</f>
        <v>243</v>
      </c>
      <c r="H42" s="1">
        <f>68+(280)</f>
        <v>348</v>
      </c>
      <c r="I42" s="1">
        <f>68+(440)</f>
        <v>508</v>
      </c>
      <c r="J42" s="1">
        <f>68+(700)</f>
        <v>768</v>
      </c>
      <c r="K42" s="1">
        <f>110+(41)</f>
        <v>151</v>
      </c>
      <c r="L42" s="1">
        <f>110+(55)</f>
        <v>165</v>
      </c>
      <c r="M42" s="1">
        <f>110+(78)</f>
        <v>188</v>
      </c>
      <c r="N42" s="1">
        <f>110+(110)</f>
        <v>220</v>
      </c>
      <c r="O42" s="1">
        <f>110+(175)</f>
        <v>285</v>
      </c>
      <c r="P42" s="1">
        <f>110+(280)</f>
        <v>390</v>
      </c>
      <c r="Q42" s="1">
        <f>110+(440)</f>
        <v>550</v>
      </c>
      <c r="R42" s="1">
        <f>110+(700)</f>
        <v>810</v>
      </c>
    </row>
    <row r="43" spans="1:18" ht="16.2" thickBot="1" x14ac:dyDescent="0.35">
      <c r="A43" s="82"/>
      <c r="B43" s="80"/>
      <c r="C43" s="1">
        <v>68</v>
      </c>
      <c r="D43" s="1">
        <v>68</v>
      </c>
      <c r="E43" s="1">
        <v>68</v>
      </c>
      <c r="F43" s="1">
        <v>68</v>
      </c>
      <c r="G43" s="1">
        <v>68</v>
      </c>
      <c r="H43" s="1">
        <v>68</v>
      </c>
      <c r="I43" s="1">
        <v>68</v>
      </c>
      <c r="J43" s="1">
        <v>68</v>
      </c>
      <c r="K43" s="1">
        <v>110</v>
      </c>
      <c r="L43" s="1">
        <v>110</v>
      </c>
      <c r="M43" s="1">
        <v>110</v>
      </c>
      <c r="N43" s="1">
        <v>110</v>
      </c>
      <c r="O43" s="1">
        <v>110</v>
      </c>
      <c r="P43" s="1">
        <v>110</v>
      </c>
      <c r="Q43" s="1">
        <v>110</v>
      </c>
      <c r="R43" s="1">
        <v>110</v>
      </c>
    </row>
    <row r="44" spans="1:18" ht="16.2" thickBot="1" x14ac:dyDescent="0.35">
      <c r="A44" s="81">
        <v>2500</v>
      </c>
      <c r="B44" s="79">
        <v>3150</v>
      </c>
      <c r="C44" s="1">
        <f>76+(50)</f>
        <v>126</v>
      </c>
      <c r="D44" s="1">
        <f>76+(68)</f>
        <v>144</v>
      </c>
      <c r="E44" s="1">
        <f>76+(96)</f>
        <v>172</v>
      </c>
      <c r="F44" s="1">
        <f>76+(135)</f>
        <v>211</v>
      </c>
      <c r="G44" s="1">
        <f>76+(210)</f>
        <v>286</v>
      </c>
      <c r="H44" s="1">
        <f>76+(330)</f>
        <v>406</v>
      </c>
      <c r="I44" s="1">
        <f>76+(540)</f>
        <v>616</v>
      </c>
      <c r="J44" s="1">
        <f>76+(860)</f>
        <v>936</v>
      </c>
      <c r="K44" s="1">
        <f>135+(50)</f>
        <v>185</v>
      </c>
      <c r="L44" s="1">
        <f>135+(68)</f>
        <v>203</v>
      </c>
      <c r="M44" s="1">
        <f>135+(96)</f>
        <v>231</v>
      </c>
      <c r="N44" s="1">
        <f>135+(135)</f>
        <v>270</v>
      </c>
      <c r="O44" s="1">
        <f>135+(210)</f>
        <v>345</v>
      </c>
      <c r="P44" s="1">
        <f>135+(330)</f>
        <v>465</v>
      </c>
      <c r="Q44" s="1">
        <f>135+(540)</f>
        <v>675</v>
      </c>
      <c r="R44" s="1">
        <f>135+(860)</f>
        <v>995</v>
      </c>
    </row>
    <row r="45" spans="1:18" ht="16.2" thickBot="1" x14ac:dyDescent="0.35">
      <c r="A45" s="96"/>
      <c r="B45" s="119"/>
      <c r="C45" s="1">
        <v>76</v>
      </c>
      <c r="D45" s="1">
        <v>76</v>
      </c>
      <c r="E45" s="1">
        <v>76</v>
      </c>
      <c r="F45" s="1">
        <v>76</v>
      </c>
      <c r="G45" s="1">
        <v>76</v>
      </c>
      <c r="H45" s="1">
        <v>76</v>
      </c>
      <c r="I45" s="1">
        <v>76</v>
      </c>
      <c r="J45" s="1">
        <v>76</v>
      </c>
      <c r="K45" s="1">
        <v>135</v>
      </c>
      <c r="L45" s="1">
        <v>135</v>
      </c>
      <c r="M45" s="1">
        <v>135</v>
      </c>
      <c r="N45" s="1">
        <v>135</v>
      </c>
      <c r="O45" s="1">
        <v>135</v>
      </c>
      <c r="P45" s="1">
        <v>135</v>
      </c>
      <c r="Q45" s="1">
        <v>135</v>
      </c>
      <c r="R45" s="1">
        <v>135</v>
      </c>
    </row>
    <row r="46" spans="1:18" ht="15.6" thickTop="1" x14ac:dyDescent="0.3"/>
  </sheetData>
  <mergeCells count="46">
    <mergeCell ref="K1:R2"/>
    <mergeCell ref="A44:A45"/>
    <mergeCell ref="B44:B45"/>
    <mergeCell ref="A42:A43"/>
    <mergeCell ref="B42:B43"/>
    <mergeCell ref="A40:A41"/>
    <mergeCell ref="B40:B41"/>
    <mergeCell ref="A38:A39"/>
    <mergeCell ref="B38:B39"/>
    <mergeCell ref="A36:A37"/>
    <mergeCell ref="B36:B37"/>
    <mergeCell ref="A34:A35"/>
    <mergeCell ref="B34:B35"/>
    <mergeCell ref="A32:A33"/>
    <mergeCell ref="B32:B33"/>
    <mergeCell ref="A30:A31"/>
    <mergeCell ref="B30:B31"/>
    <mergeCell ref="A28:A29"/>
    <mergeCell ref="B28:B29"/>
    <mergeCell ref="A26:A27"/>
    <mergeCell ref="B26:B27"/>
    <mergeCell ref="A24:A25"/>
    <mergeCell ref="B24:B25"/>
    <mergeCell ref="A22:A23"/>
    <mergeCell ref="B22:B23"/>
    <mergeCell ref="A20:A21"/>
    <mergeCell ref="B20:B21"/>
    <mergeCell ref="A18:A19"/>
    <mergeCell ref="B18:B19"/>
    <mergeCell ref="A12:A13"/>
    <mergeCell ref="B12:B13"/>
    <mergeCell ref="A14:A15"/>
    <mergeCell ref="B14:B15"/>
    <mergeCell ref="A16:A17"/>
    <mergeCell ref="B16:B17"/>
    <mergeCell ref="A6:A7"/>
    <mergeCell ref="B6:B7"/>
    <mergeCell ref="A8:A9"/>
    <mergeCell ref="B8:B9"/>
    <mergeCell ref="A10:A11"/>
    <mergeCell ref="B10:B11"/>
    <mergeCell ref="A1:B1"/>
    <mergeCell ref="A2:B2"/>
    <mergeCell ref="A4:A5"/>
    <mergeCell ref="B4:B5"/>
    <mergeCell ref="C1:J2"/>
  </mergeCells>
  <phoneticPr fontId="7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62437-449A-43FC-9E5F-94D9435B0F05}">
  <dimension ref="A1:J46"/>
  <sheetViews>
    <sheetView topLeftCell="A17" workbookViewId="0">
      <selection activeCell="M24" sqref="M24"/>
    </sheetView>
  </sheetViews>
  <sheetFormatPr defaultRowHeight="15" x14ac:dyDescent="0.3"/>
  <sheetData>
    <row r="1" spans="1:10" ht="16.2" thickTop="1" x14ac:dyDescent="0.3">
      <c r="A1" s="65" t="s">
        <v>0</v>
      </c>
      <c r="B1" s="66"/>
      <c r="C1" s="51" t="s">
        <v>36</v>
      </c>
      <c r="D1" s="52"/>
      <c r="E1" s="52"/>
      <c r="F1" s="52"/>
      <c r="G1" s="52"/>
      <c r="H1" s="52"/>
      <c r="I1" s="52"/>
      <c r="J1" s="53"/>
    </row>
    <row r="2" spans="1:10" ht="16.2" thickBot="1" x14ac:dyDescent="0.35">
      <c r="A2" s="61" t="s">
        <v>1</v>
      </c>
      <c r="B2" s="62"/>
      <c r="C2" s="54"/>
      <c r="D2" s="55"/>
      <c r="E2" s="55"/>
      <c r="F2" s="55"/>
      <c r="G2" s="55"/>
      <c r="H2" s="55"/>
      <c r="I2" s="55"/>
      <c r="J2" s="56"/>
    </row>
    <row r="3" spans="1:10" ht="16.2" thickBot="1" x14ac:dyDescent="0.35">
      <c r="A3" s="21" t="s">
        <v>3</v>
      </c>
      <c r="B3" s="20" t="s">
        <v>4</v>
      </c>
      <c r="C3" s="2">
        <v>3</v>
      </c>
      <c r="D3" s="2">
        <v>4</v>
      </c>
      <c r="E3" s="2">
        <v>5</v>
      </c>
      <c r="F3" s="2">
        <v>6</v>
      </c>
      <c r="G3" s="2">
        <v>7</v>
      </c>
      <c r="H3" s="2">
        <v>8</v>
      </c>
      <c r="I3" s="2">
        <v>9</v>
      </c>
      <c r="J3" s="3">
        <v>10</v>
      </c>
    </row>
    <row r="4" spans="1:10" ht="15.6" x14ac:dyDescent="0.3">
      <c r="A4" s="73" t="s">
        <v>5</v>
      </c>
      <c r="B4" s="49">
        <v>3</v>
      </c>
      <c r="C4" s="23">
        <v>8</v>
      </c>
      <c r="D4" s="23">
        <v>9</v>
      </c>
      <c r="E4" s="23">
        <v>10</v>
      </c>
      <c r="F4" s="23">
        <v>12</v>
      </c>
      <c r="G4" s="23">
        <v>16</v>
      </c>
      <c r="H4" s="23">
        <v>20</v>
      </c>
      <c r="I4" s="23">
        <v>31</v>
      </c>
      <c r="J4" s="24">
        <v>46</v>
      </c>
    </row>
    <row r="5" spans="1:10" ht="16.2" thickBot="1" x14ac:dyDescent="0.35">
      <c r="A5" s="74"/>
      <c r="B5" s="50"/>
      <c r="C5" s="1">
        <v>6</v>
      </c>
      <c r="D5" s="1">
        <v>6</v>
      </c>
      <c r="E5" s="1">
        <v>6</v>
      </c>
      <c r="F5" s="1">
        <v>6</v>
      </c>
      <c r="G5" s="1">
        <v>6</v>
      </c>
      <c r="H5" s="1">
        <v>6</v>
      </c>
      <c r="I5" s="1">
        <v>6</v>
      </c>
      <c r="J5" s="19">
        <v>6</v>
      </c>
    </row>
    <row r="6" spans="1:10" ht="15.6" x14ac:dyDescent="0.3">
      <c r="A6" s="47">
        <v>3</v>
      </c>
      <c r="B6" s="49">
        <v>6</v>
      </c>
      <c r="C6" s="23">
        <v>14.5</v>
      </c>
      <c r="D6" s="23">
        <v>16</v>
      </c>
      <c r="E6" s="23">
        <v>17</v>
      </c>
      <c r="F6" s="23">
        <v>20</v>
      </c>
      <c r="G6" s="23">
        <v>24</v>
      </c>
      <c r="H6" s="23">
        <v>30</v>
      </c>
      <c r="I6" s="23">
        <v>42</v>
      </c>
      <c r="J6" s="24">
        <v>60</v>
      </c>
    </row>
    <row r="7" spans="1:10" ht="16.2" thickBot="1" x14ac:dyDescent="0.35">
      <c r="A7" s="48"/>
      <c r="B7" s="50"/>
      <c r="C7" s="1">
        <v>12</v>
      </c>
      <c r="D7" s="1">
        <v>12</v>
      </c>
      <c r="E7" s="1">
        <v>12</v>
      </c>
      <c r="F7" s="1">
        <v>12</v>
      </c>
      <c r="G7" s="1">
        <v>12</v>
      </c>
      <c r="H7" s="1">
        <v>12</v>
      </c>
      <c r="I7" s="1">
        <v>12</v>
      </c>
      <c r="J7" s="19">
        <v>12</v>
      </c>
    </row>
    <row r="8" spans="1:10" ht="15.6" x14ac:dyDescent="0.3">
      <c r="A8" s="47">
        <v>6</v>
      </c>
      <c r="B8" s="49">
        <v>10</v>
      </c>
      <c r="C8" s="23">
        <v>17.5</v>
      </c>
      <c r="D8" s="23">
        <v>19</v>
      </c>
      <c r="E8" s="23">
        <v>21</v>
      </c>
      <c r="F8" s="23">
        <v>24</v>
      </c>
      <c r="G8" s="23">
        <v>30</v>
      </c>
      <c r="H8" s="23">
        <v>37</v>
      </c>
      <c r="I8" s="23">
        <v>51</v>
      </c>
      <c r="J8" s="24">
        <v>73</v>
      </c>
    </row>
    <row r="9" spans="1:10" ht="16.2" thickBot="1" x14ac:dyDescent="0.35">
      <c r="A9" s="48"/>
      <c r="B9" s="50"/>
      <c r="C9" s="1">
        <v>15</v>
      </c>
      <c r="D9" s="1">
        <v>15</v>
      </c>
      <c r="E9" s="1">
        <v>15</v>
      </c>
      <c r="F9" s="1">
        <v>15</v>
      </c>
      <c r="G9" s="1">
        <v>15</v>
      </c>
      <c r="H9" s="1">
        <v>15</v>
      </c>
      <c r="I9" s="1">
        <v>15</v>
      </c>
      <c r="J9" s="19">
        <v>15</v>
      </c>
    </row>
    <row r="10" spans="1:10" ht="15.6" x14ac:dyDescent="0.3">
      <c r="A10" s="47">
        <v>10</v>
      </c>
      <c r="B10" s="49">
        <v>18</v>
      </c>
      <c r="C10" s="23">
        <v>21</v>
      </c>
      <c r="D10" s="23">
        <v>23</v>
      </c>
      <c r="E10" s="23">
        <v>26</v>
      </c>
      <c r="F10" s="23">
        <v>29</v>
      </c>
      <c r="G10" s="23">
        <v>36</v>
      </c>
      <c r="H10" s="23">
        <v>45</v>
      </c>
      <c r="I10" s="23">
        <v>61</v>
      </c>
      <c r="J10" s="24">
        <v>88</v>
      </c>
    </row>
    <row r="11" spans="1:10" ht="16.2" thickBot="1" x14ac:dyDescent="0.35">
      <c r="A11" s="48"/>
      <c r="B11" s="50"/>
      <c r="C11" s="1">
        <v>18</v>
      </c>
      <c r="D11" s="1">
        <v>18</v>
      </c>
      <c r="E11" s="1">
        <v>18</v>
      </c>
      <c r="F11" s="1">
        <v>18</v>
      </c>
      <c r="G11" s="1">
        <v>18</v>
      </c>
      <c r="H11" s="1">
        <v>18</v>
      </c>
      <c r="I11" s="1">
        <v>18</v>
      </c>
      <c r="J11" s="19">
        <v>18</v>
      </c>
    </row>
    <row r="12" spans="1:10" ht="15.6" x14ac:dyDescent="0.3">
      <c r="A12" s="47">
        <v>18</v>
      </c>
      <c r="B12" s="49">
        <v>30</v>
      </c>
      <c r="C12" s="23">
        <v>26</v>
      </c>
      <c r="D12" s="23">
        <v>28</v>
      </c>
      <c r="E12" s="23">
        <v>31</v>
      </c>
      <c r="F12" s="23">
        <v>35</v>
      </c>
      <c r="G12" s="23">
        <v>43</v>
      </c>
      <c r="H12" s="23">
        <v>55</v>
      </c>
      <c r="I12" s="23">
        <v>74</v>
      </c>
      <c r="J12" s="24">
        <v>106</v>
      </c>
    </row>
    <row r="13" spans="1:10" ht="16.2" thickBot="1" x14ac:dyDescent="0.35">
      <c r="A13" s="48"/>
      <c r="B13" s="50"/>
      <c r="C13" s="1">
        <v>22</v>
      </c>
      <c r="D13" s="1">
        <v>22</v>
      </c>
      <c r="E13" s="1">
        <v>22</v>
      </c>
      <c r="F13" s="1">
        <v>22</v>
      </c>
      <c r="G13" s="1">
        <v>22</v>
      </c>
      <c r="H13" s="1">
        <v>22</v>
      </c>
      <c r="I13" s="1">
        <v>22</v>
      </c>
      <c r="J13" s="19">
        <v>22</v>
      </c>
    </row>
    <row r="14" spans="1:10" ht="15.6" x14ac:dyDescent="0.3">
      <c r="A14" s="47">
        <v>30</v>
      </c>
      <c r="B14" s="49">
        <v>50</v>
      </c>
      <c r="C14" s="23">
        <v>30</v>
      </c>
      <c r="D14" s="23">
        <v>33</v>
      </c>
      <c r="E14" s="23">
        <v>37</v>
      </c>
      <c r="F14" s="23">
        <v>42</v>
      </c>
      <c r="G14" s="23">
        <v>51</v>
      </c>
      <c r="H14" s="23">
        <v>65</v>
      </c>
      <c r="I14" s="23">
        <v>88</v>
      </c>
      <c r="J14" s="24">
        <v>126</v>
      </c>
    </row>
    <row r="15" spans="1:10" ht="16.2" thickBot="1" x14ac:dyDescent="0.35">
      <c r="A15" s="48"/>
      <c r="B15" s="50"/>
      <c r="C15" s="1">
        <v>26</v>
      </c>
      <c r="D15" s="1">
        <v>26</v>
      </c>
      <c r="E15" s="1">
        <v>26</v>
      </c>
      <c r="F15" s="1">
        <v>26</v>
      </c>
      <c r="G15" s="1">
        <v>26</v>
      </c>
      <c r="H15" s="1">
        <v>26</v>
      </c>
      <c r="I15" s="1">
        <v>26</v>
      </c>
      <c r="J15" s="19">
        <v>26</v>
      </c>
    </row>
    <row r="16" spans="1:10" ht="15.6" x14ac:dyDescent="0.3">
      <c r="A16" s="47">
        <v>50</v>
      </c>
      <c r="B16" s="49">
        <v>80</v>
      </c>
      <c r="C16" s="23">
        <f>32+(5)</f>
        <v>37</v>
      </c>
      <c r="D16" s="23">
        <f>32+(8)</f>
        <v>40</v>
      </c>
      <c r="E16" s="23">
        <f>32+(13)</f>
        <v>45</v>
      </c>
      <c r="F16" s="23">
        <f>32+(19)</f>
        <v>51</v>
      </c>
      <c r="G16" s="23">
        <f>32+(30)</f>
        <v>62</v>
      </c>
      <c r="H16" s="23">
        <f>32+(46)</f>
        <v>78</v>
      </c>
      <c r="I16" s="23">
        <f>32+(74)</f>
        <v>106</v>
      </c>
      <c r="J16" s="23">
        <f>32+(120)</f>
        <v>152</v>
      </c>
    </row>
    <row r="17" spans="1:10" ht="16.2" thickBot="1" x14ac:dyDescent="0.35">
      <c r="A17" s="48"/>
      <c r="B17" s="50"/>
      <c r="C17" s="1">
        <v>32</v>
      </c>
      <c r="D17" s="1">
        <v>32</v>
      </c>
      <c r="E17" s="1">
        <v>32</v>
      </c>
      <c r="F17" s="1">
        <v>32</v>
      </c>
      <c r="G17" s="1">
        <v>32</v>
      </c>
      <c r="H17" s="1">
        <v>32</v>
      </c>
      <c r="I17" s="1">
        <v>32</v>
      </c>
      <c r="J17" s="1">
        <v>32</v>
      </c>
    </row>
    <row r="18" spans="1:10" ht="15.6" x14ac:dyDescent="0.3">
      <c r="A18" s="47">
        <v>80</v>
      </c>
      <c r="B18" s="49">
        <v>120</v>
      </c>
      <c r="C18" s="23">
        <f>37+(6)</f>
        <v>43</v>
      </c>
      <c r="D18" s="23">
        <f>37+(10)</f>
        <v>47</v>
      </c>
      <c r="E18" s="23">
        <f>37+(15)</f>
        <v>52</v>
      </c>
      <c r="F18" s="23">
        <f>37+(22)</f>
        <v>59</v>
      </c>
      <c r="G18" s="23">
        <f>37+(35)</f>
        <v>72</v>
      </c>
      <c r="H18" s="23">
        <f>37+(54)</f>
        <v>91</v>
      </c>
      <c r="I18" s="23">
        <f>37+(87)</f>
        <v>124</v>
      </c>
      <c r="J18" s="23">
        <f>37+(140)</f>
        <v>177</v>
      </c>
    </row>
    <row r="19" spans="1:10" ht="16.2" thickBot="1" x14ac:dyDescent="0.35">
      <c r="A19" s="48"/>
      <c r="B19" s="50"/>
      <c r="C19" s="1">
        <v>37</v>
      </c>
      <c r="D19" s="1">
        <v>37</v>
      </c>
      <c r="E19" s="1">
        <v>37</v>
      </c>
      <c r="F19" s="1">
        <v>37</v>
      </c>
      <c r="G19" s="1">
        <v>37</v>
      </c>
      <c r="H19" s="1">
        <v>37</v>
      </c>
      <c r="I19" s="1">
        <v>37</v>
      </c>
      <c r="J19" s="1">
        <v>37</v>
      </c>
    </row>
    <row r="20" spans="1:10" ht="15.6" x14ac:dyDescent="0.3">
      <c r="A20" s="47">
        <v>120</v>
      </c>
      <c r="B20" s="49">
        <v>180</v>
      </c>
      <c r="C20" s="23">
        <f>43+(8)</f>
        <v>51</v>
      </c>
      <c r="D20" s="23">
        <f>43+(12)</f>
        <v>55</v>
      </c>
      <c r="E20" s="23">
        <f>43+(18)</f>
        <v>61</v>
      </c>
      <c r="F20" s="23">
        <f>43+(25)</f>
        <v>68</v>
      </c>
      <c r="G20" s="23">
        <f>43+(40)</f>
        <v>83</v>
      </c>
      <c r="H20" s="23">
        <f>43+(63)</f>
        <v>106</v>
      </c>
      <c r="I20" s="23">
        <f>43+(100)</f>
        <v>143</v>
      </c>
      <c r="J20" s="23">
        <f>43+(160)</f>
        <v>203</v>
      </c>
    </row>
    <row r="21" spans="1:10" ht="16.2" thickBot="1" x14ac:dyDescent="0.35">
      <c r="A21" s="48"/>
      <c r="B21" s="50"/>
      <c r="C21" s="1">
        <v>43</v>
      </c>
      <c r="D21" s="1">
        <v>43</v>
      </c>
      <c r="E21" s="1">
        <v>43</v>
      </c>
      <c r="F21" s="1">
        <v>43</v>
      </c>
      <c r="G21" s="1">
        <v>43</v>
      </c>
      <c r="H21" s="1">
        <v>43</v>
      </c>
      <c r="I21" s="1">
        <v>43</v>
      </c>
      <c r="J21" s="1">
        <v>43</v>
      </c>
    </row>
    <row r="22" spans="1:10" ht="15.6" x14ac:dyDescent="0.3">
      <c r="A22" s="47">
        <v>180</v>
      </c>
      <c r="B22" s="49">
        <v>250</v>
      </c>
      <c r="C22" s="23">
        <f>50+(10)</f>
        <v>60</v>
      </c>
      <c r="D22" s="23">
        <f>50+(14)</f>
        <v>64</v>
      </c>
      <c r="E22" s="23">
        <f>50+(20)</f>
        <v>70</v>
      </c>
      <c r="F22" s="23">
        <f>50+(29)</f>
        <v>79</v>
      </c>
      <c r="G22" s="23">
        <f>50+(46)</f>
        <v>96</v>
      </c>
      <c r="H22" s="23">
        <f>50+(72)</f>
        <v>122</v>
      </c>
      <c r="I22" s="23">
        <f>50+(115)</f>
        <v>165</v>
      </c>
      <c r="J22" s="23">
        <f>50+(185)</f>
        <v>235</v>
      </c>
    </row>
    <row r="23" spans="1:10" ht="16.2" thickBot="1" x14ac:dyDescent="0.35">
      <c r="A23" s="48"/>
      <c r="B23" s="50"/>
      <c r="C23" s="1">
        <v>50</v>
      </c>
      <c r="D23" s="1">
        <v>50</v>
      </c>
      <c r="E23" s="1">
        <v>50</v>
      </c>
      <c r="F23" s="1">
        <v>50</v>
      </c>
      <c r="G23" s="1">
        <v>50</v>
      </c>
      <c r="H23" s="1">
        <v>50</v>
      </c>
      <c r="I23" s="1">
        <v>50</v>
      </c>
      <c r="J23" s="1">
        <v>50</v>
      </c>
    </row>
    <row r="24" spans="1:10" ht="15.6" x14ac:dyDescent="0.3">
      <c r="A24" s="47">
        <v>250</v>
      </c>
      <c r="B24" s="49">
        <v>315</v>
      </c>
      <c r="C24" s="23">
        <f>56+(12)</f>
        <v>68</v>
      </c>
      <c r="D24" s="23">
        <f>56+(16)</f>
        <v>72</v>
      </c>
      <c r="E24" s="23">
        <f>56+(23)</f>
        <v>79</v>
      </c>
      <c r="F24" s="23">
        <f>56+(32)</f>
        <v>88</v>
      </c>
      <c r="G24" s="23">
        <f>56+(52)</f>
        <v>108</v>
      </c>
      <c r="H24" s="23">
        <f>56+(81)</f>
        <v>137</v>
      </c>
      <c r="I24" s="23">
        <f>56+(130)</f>
        <v>186</v>
      </c>
      <c r="J24" s="23">
        <f>56+(210)</f>
        <v>266</v>
      </c>
    </row>
    <row r="25" spans="1:10" ht="16.2" thickBot="1" x14ac:dyDescent="0.35">
      <c r="A25" s="48"/>
      <c r="B25" s="50"/>
      <c r="C25" s="1">
        <v>56</v>
      </c>
      <c r="D25" s="1">
        <v>56</v>
      </c>
      <c r="E25" s="1">
        <v>56</v>
      </c>
      <c r="F25" s="1">
        <v>56</v>
      </c>
      <c r="G25" s="1">
        <v>56</v>
      </c>
      <c r="H25" s="1">
        <v>56</v>
      </c>
      <c r="I25" s="1">
        <v>56</v>
      </c>
      <c r="J25" s="1">
        <v>56</v>
      </c>
    </row>
    <row r="26" spans="1:10" ht="15.6" x14ac:dyDescent="0.3">
      <c r="A26" s="47">
        <v>315</v>
      </c>
      <c r="B26" s="49">
        <v>400</v>
      </c>
      <c r="C26" s="23">
        <f>62+(13)</f>
        <v>75</v>
      </c>
      <c r="D26" s="23">
        <f>62+(18)</f>
        <v>80</v>
      </c>
      <c r="E26" s="23">
        <f>62+(25)</f>
        <v>87</v>
      </c>
      <c r="F26" s="23">
        <f>62+(36)</f>
        <v>98</v>
      </c>
      <c r="G26" s="23">
        <f>62+(57)</f>
        <v>119</v>
      </c>
      <c r="H26" s="23">
        <f>62+(89)</f>
        <v>151</v>
      </c>
      <c r="I26" s="23">
        <f>62+(140)</f>
        <v>202</v>
      </c>
      <c r="J26" s="23">
        <f>62+(230)</f>
        <v>292</v>
      </c>
    </row>
    <row r="27" spans="1:10" ht="16.2" thickBot="1" x14ac:dyDescent="0.35">
      <c r="A27" s="48"/>
      <c r="B27" s="50"/>
      <c r="C27" s="1">
        <v>62</v>
      </c>
      <c r="D27" s="1">
        <v>62</v>
      </c>
      <c r="E27" s="1">
        <v>62</v>
      </c>
      <c r="F27" s="1">
        <v>62</v>
      </c>
      <c r="G27" s="1">
        <v>62</v>
      </c>
      <c r="H27" s="1">
        <v>62</v>
      </c>
      <c r="I27" s="1">
        <v>62</v>
      </c>
      <c r="J27" s="1">
        <v>62</v>
      </c>
    </row>
    <row r="28" spans="1:10" ht="15.6" x14ac:dyDescent="0.3">
      <c r="A28" s="47">
        <v>400</v>
      </c>
      <c r="B28" s="49">
        <v>500</v>
      </c>
      <c r="C28" s="23">
        <f>68+(15)</f>
        <v>83</v>
      </c>
      <c r="D28" s="23">
        <f>68+(20)</f>
        <v>88</v>
      </c>
      <c r="E28" s="23">
        <f>68+(27)</f>
        <v>95</v>
      </c>
      <c r="F28" s="23">
        <f>68+(40)</f>
        <v>108</v>
      </c>
      <c r="G28" s="23">
        <f>68+(63)</f>
        <v>131</v>
      </c>
      <c r="H28" s="23">
        <f>68+(97)</f>
        <v>165</v>
      </c>
      <c r="I28" s="23">
        <f>68+(155)</f>
        <v>223</v>
      </c>
      <c r="J28" s="23">
        <f>68+(250)</f>
        <v>318</v>
      </c>
    </row>
    <row r="29" spans="1:10" ht="16.2" thickBot="1" x14ac:dyDescent="0.35">
      <c r="A29" s="48"/>
      <c r="B29" s="50"/>
      <c r="C29" s="1">
        <v>68</v>
      </c>
      <c r="D29" s="1">
        <v>68</v>
      </c>
      <c r="E29" s="1">
        <v>68</v>
      </c>
      <c r="F29" s="1">
        <v>68</v>
      </c>
      <c r="G29" s="1">
        <v>68</v>
      </c>
      <c r="H29" s="1">
        <v>68</v>
      </c>
      <c r="I29" s="1">
        <v>68</v>
      </c>
      <c r="J29" s="1">
        <v>68</v>
      </c>
    </row>
    <row r="30" spans="1:10" ht="15.6" x14ac:dyDescent="0.3">
      <c r="A30" s="47">
        <v>500</v>
      </c>
      <c r="B30" s="49">
        <v>630</v>
      </c>
      <c r="C30" s="23">
        <f>78+(16)</f>
        <v>94</v>
      </c>
      <c r="D30" s="23">
        <f>78+(22)</f>
        <v>100</v>
      </c>
      <c r="E30" s="23">
        <f>78+(32)</f>
        <v>110</v>
      </c>
      <c r="F30" s="23">
        <f>78+(44)</f>
        <v>122</v>
      </c>
      <c r="G30" s="23">
        <f>78+(70)</f>
        <v>148</v>
      </c>
      <c r="H30" s="23">
        <f>78+(110)</f>
        <v>188</v>
      </c>
      <c r="I30" s="23">
        <f>78+(175)</f>
        <v>253</v>
      </c>
      <c r="J30" s="23">
        <f>78+(280)</f>
        <v>358</v>
      </c>
    </row>
    <row r="31" spans="1:10" ht="16.2" thickBot="1" x14ac:dyDescent="0.35">
      <c r="A31" s="48"/>
      <c r="B31" s="50"/>
      <c r="C31" s="1">
        <v>78</v>
      </c>
      <c r="D31" s="1">
        <v>78</v>
      </c>
      <c r="E31" s="1">
        <v>78</v>
      </c>
      <c r="F31" s="1">
        <v>78</v>
      </c>
      <c r="G31" s="1">
        <v>78</v>
      </c>
      <c r="H31" s="1">
        <v>78</v>
      </c>
      <c r="I31" s="1">
        <v>78</v>
      </c>
      <c r="J31" s="1">
        <v>78</v>
      </c>
    </row>
    <row r="32" spans="1:10" ht="15.6" x14ac:dyDescent="0.3">
      <c r="A32" s="47">
        <v>630</v>
      </c>
      <c r="B32" s="49">
        <v>800</v>
      </c>
      <c r="C32" s="23">
        <f>88+(18)</f>
        <v>106</v>
      </c>
      <c r="D32" s="23">
        <f>88+(25)</f>
        <v>113</v>
      </c>
      <c r="E32" s="23">
        <f>88+(36)</f>
        <v>124</v>
      </c>
      <c r="F32" s="23">
        <f>88+(50)</f>
        <v>138</v>
      </c>
      <c r="G32" s="23">
        <f>88+(80)</f>
        <v>168</v>
      </c>
      <c r="H32" s="23">
        <f>88+(125)</f>
        <v>213</v>
      </c>
      <c r="I32" s="23">
        <f>88+(200)</f>
        <v>288</v>
      </c>
      <c r="J32" s="23">
        <f>88+(320)</f>
        <v>408</v>
      </c>
    </row>
    <row r="33" spans="1:10" ht="16.2" thickBot="1" x14ac:dyDescent="0.35">
      <c r="A33" s="48"/>
      <c r="B33" s="50"/>
      <c r="C33" s="1">
        <v>88</v>
      </c>
      <c r="D33" s="1">
        <v>88</v>
      </c>
      <c r="E33" s="1">
        <v>88</v>
      </c>
      <c r="F33" s="1">
        <v>88</v>
      </c>
      <c r="G33" s="1">
        <v>88</v>
      </c>
      <c r="H33" s="1">
        <v>88</v>
      </c>
      <c r="I33" s="1">
        <v>88</v>
      </c>
      <c r="J33" s="1">
        <v>88</v>
      </c>
    </row>
    <row r="34" spans="1:10" ht="15.6" x14ac:dyDescent="0.3">
      <c r="A34" s="47">
        <v>800</v>
      </c>
      <c r="B34" s="79">
        <v>1000</v>
      </c>
      <c r="C34" s="23">
        <f>100+(21)</f>
        <v>121</v>
      </c>
      <c r="D34" s="23">
        <f>100+(28)</f>
        <v>128</v>
      </c>
      <c r="E34" s="23">
        <f>100+(40)</f>
        <v>140</v>
      </c>
      <c r="F34" s="23">
        <f>100+(56)</f>
        <v>156</v>
      </c>
      <c r="G34" s="23">
        <f>100+(90)</f>
        <v>190</v>
      </c>
      <c r="H34" s="23">
        <f>100+(140)</f>
        <v>240</v>
      </c>
      <c r="I34" s="23">
        <f>100+(230)</f>
        <v>330</v>
      </c>
      <c r="J34" s="23">
        <f>100+(360)</f>
        <v>460</v>
      </c>
    </row>
    <row r="35" spans="1:10" ht="16.2" thickBot="1" x14ac:dyDescent="0.35">
      <c r="A35" s="48"/>
      <c r="B35" s="80"/>
      <c r="C35" s="1">
        <v>100</v>
      </c>
      <c r="D35" s="1">
        <v>100</v>
      </c>
      <c r="E35" s="1">
        <v>100</v>
      </c>
      <c r="F35" s="1">
        <v>100</v>
      </c>
      <c r="G35" s="1">
        <v>100</v>
      </c>
      <c r="H35" s="1">
        <v>100</v>
      </c>
      <c r="I35" s="1">
        <v>100</v>
      </c>
      <c r="J35" s="1">
        <v>100</v>
      </c>
    </row>
    <row r="36" spans="1:10" ht="15.6" x14ac:dyDescent="0.3">
      <c r="A36" s="81">
        <v>1000</v>
      </c>
      <c r="B36" s="79">
        <v>1250</v>
      </c>
      <c r="C36" s="23">
        <f>120+(24)</f>
        <v>144</v>
      </c>
      <c r="D36" s="23">
        <f>120+(33)</f>
        <v>153</v>
      </c>
      <c r="E36" s="23">
        <f>120+(47)</f>
        <v>167</v>
      </c>
      <c r="F36" s="23">
        <f>120+(66)</f>
        <v>186</v>
      </c>
      <c r="G36" s="23">
        <f>120+(105)</f>
        <v>225</v>
      </c>
      <c r="H36" s="23">
        <f>120+(165)</f>
        <v>285</v>
      </c>
      <c r="I36" s="23">
        <f>120+(260)</f>
        <v>380</v>
      </c>
      <c r="J36" s="23">
        <f>120+(420)</f>
        <v>540</v>
      </c>
    </row>
    <row r="37" spans="1:10" ht="16.2" thickBot="1" x14ac:dyDescent="0.35">
      <c r="A37" s="82"/>
      <c r="B37" s="80"/>
      <c r="C37" s="1">
        <v>120</v>
      </c>
      <c r="D37" s="1">
        <v>120</v>
      </c>
      <c r="E37" s="1">
        <v>120</v>
      </c>
      <c r="F37" s="1">
        <v>120</v>
      </c>
      <c r="G37" s="1">
        <v>120</v>
      </c>
      <c r="H37" s="1">
        <v>120</v>
      </c>
      <c r="I37" s="1">
        <v>120</v>
      </c>
      <c r="J37" s="1">
        <v>120</v>
      </c>
    </row>
    <row r="38" spans="1:10" ht="15.6" x14ac:dyDescent="0.3">
      <c r="A38" s="81">
        <v>1250</v>
      </c>
      <c r="B38" s="79">
        <v>1600</v>
      </c>
      <c r="C38" s="23">
        <f>140+(29)</f>
        <v>169</v>
      </c>
      <c r="D38" s="23">
        <f>140+(39)</f>
        <v>179</v>
      </c>
      <c r="E38" s="23">
        <f>140+(55)</f>
        <v>195</v>
      </c>
      <c r="F38" s="23">
        <f>140+(78)</f>
        <v>218</v>
      </c>
      <c r="G38" s="23">
        <f>140+(125)</f>
        <v>265</v>
      </c>
      <c r="H38" s="23">
        <f>140+(195)</f>
        <v>335</v>
      </c>
      <c r="I38" s="23">
        <f>140+(310)</f>
        <v>450</v>
      </c>
      <c r="J38" s="23">
        <f>140+(500)</f>
        <v>640</v>
      </c>
    </row>
    <row r="39" spans="1:10" ht="16.2" thickBot="1" x14ac:dyDescent="0.35">
      <c r="A39" s="82"/>
      <c r="B39" s="80"/>
      <c r="C39" s="1">
        <v>140</v>
      </c>
      <c r="D39" s="1">
        <v>140</v>
      </c>
      <c r="E39" s="1">
        <v>140</v>
      </c>
      <c r="F39" s="1">
        <v>140</v>
      </c>
      <c r="G39" s="1">
        <v>140</v>
      </c>
      <c r="H39" s="1">
        <v>140</v>
      </c>
      <c r="I39" s="1">
        <v>140</v>
      </c>
      <c r="J39" s="1">
        <v>140</v>
      </c>
    </row>
    <row r="40" spans="1:10" ht="15.6" x14ac:dyDescent="0.3">
      <c r="A40" s="81">
        <v>1600</v>
      </c>
      <c r="B40" s="79">
        <v>2000</v>
      </c>
      <c r="C40" s="23">
        <f>170+(35)</f>
        <v>205</v>
      </c>
      <c r="D40" s="23">
        <f>170+(46)</f>
        <v>216</v>
      </c>
      <c r="E40" s="23">
        <f>170+(65)</f>
        <v>235</v>
      </c>
      <c r="F40" s="23">
        <f>170+(92)</f>
        <v>262</v>
      </c>
      <c r="G40" s="23">
        <f>170+(150)</f>
        <v>320</v>
      </c>
      <c r="H40" s="23">
        <f>170+(230)</f>
        <v>400</v>
      </c>
      <c r="I40" s="23">
        <f>170+(370)</f>
        <v>540</v>
      </c>
      <c r="J40" s="23">
        <f>170+(600)</f>
        <v>770</v>
      </c>
    </row>
    <row r="41" spans="1:10" ht="16.2" thickBot="1" x14ac:dyDescent="0.35">
      <c r="A41" s="82"/>
      <c r="B41" s="80"/>
      <c r="C41" s="1">
        <v>170</v>
      </c>
      <c r="D41" s="1">
        <v>170</v>
      </c>
      <c r="E41" s="1">
        <v>170</v>
      </c>
      <c r="F41" s="1">
        <v>170</v>
      </c>
      <c r="G41" s="1">
        <v>170</v>
      </c>
      <c r="H41" s="1">
        <v>170</v>
      </c>
      <c r="I41" s="1">
        <v>170</v>
      </c>
      <c r="J41" s="1">
        <v>170</v>
      </c>
    </row>
    <row r="42" spans="1:10" ht="15.6" x14ac:dyDescent="0.3">
      <c r="A42" s="81">
        <v>2000</v>
      </c>
      <c r="B42" s="79">
        <v>2500</v>
      </c>
      <c r="C42" s="23">
        <f>195+(41)</f>
        <v>236</v>
      </c>
      <c r="D42" s="23">
        <f>195+(55)</f>
        <v>250</v>
      </c>
      <c r="E42" s="23">
        <f>195+(78)</f>
        <v>273</v>
      </c>
      <c r="F42" s="23">
        <f>195+(110)</f>
        <v>305</v>
      </c>
      <c r="G42" s="23">
        <f>195+(175)</f>
        <v>370</v>
      </c>
      <c r="H42" s="23">
        <f>195+(280)</f>
        <v>475</v>
      </c>
      <c r="I42" s="23">
        <f>195+(440)</f>
        <v>635</v>
      </c>
      <c r="J42" s="23">
        <f>195+(700)</f>
        <v>895</v>
      </c>
    </row>
    <row r="43" spans="1:10" ht="16.2" thickBot="1" x14ac:dyDescent="0.35">
      <c r="A43" s="82"/>
      <c r="B43" s="80"/>
      <c r="C43" s="1">
        <v>195</v>
      </c>
      <c r="D43" s="1">
        <v>195</v>
      </c>
      <c r="E43" s="1">
        <v>195</v>
      </c>
      <c r="F43" s="1">
        <v>195</v>
      </c>
      <c r="G43" s="1">
        <v>195</v>
      </c>
      <c r="H43" s="1">
        <v>195</v>
      </c>
      <c r="I43" s="1">
        <v>195</v>
      </c>
      <c r="J43" s="1">
        <v>195</v>
      </c>
    </row>
    <row r="44" spans="1:10" ht="15.6" x14ac:dyDescent="0.3">
      <c r="A44" s="81">
        <v>2500</v>
      </c>
      <c r="B44" s="79">
        <v>3150</v>
      </c>
      <c r="C44" s="23">
        <f>240+(50)</f>
        <v>290</v>
      </c>
      <c r="D44" s="23">
        <f>240+(68)</f>
        <v>308</v>
      </c>
      <c r="E44" s="23">
        <f>240+(96)</f>
        <v>336</v>
      </c>
      <c r="F44" s="23">
        <f>240+(135)</f>
        <v>375</v>
      </c>
      <c r="G44" s="23">
        <f>240+(210)</f>
        <v>450</v>
      </c>
      <c r="H44" s="23">
        <f>240+(330)</f>
        <v>570</v>
      </c>
      <c r="I44" s="23">
        <f>240+(540)</f>
        <v>780</v>
      </c>
      <c r="J44" s="23">
        <f>240+(860)</f>
        <v>1100</v>
      </c>
    </row>
    <row r="45" spans="1:10" ht="16.2" thickBot="1" x14ac:dyDescent="0.35">
      <c r="A45" s="96"/>
      <c r="B45" s="119"/>
      <c r="C45" s="1">
        <v>240</v>
      </c>
      <c r="D45" s="1">
        <v>240</v>
      </c>
      <c r="E45" s="1">
        <v>240</v>
      </c>
      <c r="F45" s="1">
        <v>240</v>
      </c>
      <c r="G45" s="1">
        <v>240</v>
      </c>
      <c r="H45" s="1">
        <v>240</v>
      </c>
      <c r="I45" s="1">
        <v>240</v>
      </c>
      <c r="J45" s="1">
        <v>240</v>
      </c>
    </row>
    <row r="46" spans="1:10" ht="15.6" thickTop="1" x14ac:dyDescent="0.3"/>
  </sheetData>
  <mergeCells count="45">
    <mergeCell ref="A44:A45"/>
    <mergeCell ref="B44:B45"/>
    <mergeCell ref="A42:A43"/>
    <mergeCell ref="B42:B43"/>
    <mergeCell ref="A40:A41"/>
    <mergeCell ref="B40:B41"/>
    <mergeCell ref="A38:A39"/>
    <mergeCell ref="B38:B39"/>
    <mergeCell ref="A36:A37"/>
    <mergeCell ref="B36:B37"/>
    <mergeCell ref="A34:A35"/>
    <mergeCell ref="B34:B35"/>
    <mergeCell ref="A32:A33"/>
    <mergeCell ref="B32:B33"/>
    <mergeCell ref="A30:A31"/>
    <mergeCell ref="B30:B31"/>
    <mergeCell ref="A28:A29"/>
    <mergeCell ref="B28:B29"/>
    <mergeCell ref="A24:A25"/>
    <mergeCell ref="B24:B25"/>
    <mergeCell ref="A26:A27"/>
    <mergeCell ref="B26:B27"/>
    <mergeCell ref="A20:A21"/>
    <mergeCell ref="B20:B21"/>
    <mergeCell ref="A22:A23"/>
    <mergeCell ref="B22:B23"/>
    <mergeCell ref="A18:A19"/>
    <mergeCell ref="B18:B19"/>
    <mergeCell ref="A14:A15"/>
    <mergeCell ref="B14:B15"/>
    <mergeCell ref="A16:A17"/>
    <mergeCell ref="B16:B17"/>
    <mergeCell ref="A8:A9"/>
    <mergeCell ref="B8:B9"/>
    <mergeCell ref="A10:A11"/>
    <mergeCell ref="B10:B11"/>
    <mergeCell ref="A12:A13"/>
    <mergeCell ref="B12:B13"/>
    <mergeCell ref="A6:A7"/>
    <mergeCell ref="B6:B7"/>
    <mergeCell ref="A1:B1"/>
    <mergeCell ref="A2:B2"/>
    <mergeCell ref="C1:J2"/>
    <mergeCell ref="A4:A5"/>
    <mergeCell ref="B4:B5"/>
  </mergeCells>
  <phoneticPr fontId="7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7B6CB-5F63-482B-93EC-8CDDCC07485F}">
  <dimension ref="A1:J80"/>
  <sheetViews>
    <sheetView topLeftCell="A54" workbookViewId="0">
      <selection activeCell="N42" sqref="N42"/>
    </sheetView>
  </sheetViews>
  <sheetFormatPr defaultRowHeight="15" x14ac:dyDescent="0.3"/>
  <sheetData>
    <row r="1" spans="1:10" ht="16.2" thickTop="1" x14ac:dyDescent="0.3">
      <c r="A1" s="65" t="s">
        <v>0</v>
      </c>
      <c r="B1" s="66"/>
      <c r="C1" s="51" t="s">
        <v>37</v>
      </c>
      <c r="D1" s="52"/>
      <c r="E1" s="52"/>
      <c r="F1" s="52"/>
      <c r="G1" s="52"/>
      <c r="H1" s="52"/>
      <c r="I1" s="52"/>
      <c r="J1" s="53"/>
    </row>
    <row r="2" spans="1:10" ht="16.2" thickBot="1" x14ac:dyDescent="0.35">
      <c r="A2" s="61" t="s">
        <v>1</v>
      </c>
      <c r="B2" s="62"/>
      <c r="C2" s="54"/>
      <c r="D2" s="55"/>
      <c r="E2" s="55"/>
      <c r="F2" s="55"/>
      <c r="G2" s="55"/>
      <c r="H2" s="55"/>
      <c r="I2" s="55"/>
      <c r="J2" s="56"/>
    </row>
    <row r="3" spans="1:10" ht="16.2" thickBot="1" x14ac:dyDescent="0.35">
      <c r="A3" s="21" t="s">
        <v>3</v>
      </c>
      <c r="B3" s="20" t="s">
        <v>4</v>
      </c>
      <c r="C3" s="2">
        <v>3</v>
      </c>
      <c r="D3" s="2">
        <v>4</v>
      </c>
      <c r="E3" s="2">
        <v>5</v>
      </c>
      <c r="F3" s="2">
        <v>6</v>
      </c>
      <c r="G3" s="2">
        <v>7</v>
      </c>
      <c r="H3" s="2">
        <v>8</v>
      </c>
      <c r="I3" s="2">
        <v>9</v>
      </c>
      <c r="J3" s="3">
        <v>10</v>
      </c>
    </row>
    <row r="4" spans="1:10" ht="15.6" x14ac:dyDescent="0.3">
      <c r="A4" s="73" t="s">
        <v>5</v>
      </c>
      <c r="B4" s="49">
        <v>3</v>
      </c>
      <c r="C4" s="23">
        <v>12</v>
      </c>
      <c r="D4" s="23">
        <v>13</v>
      </c>
      <c r="E4" s="23">
        <v>14</v>
      </c>
      <c r="F4" s="23">
        <v>16</v>
      </c>
      <c r="G4" s="23">
        <v>20</v>
      </c>
      <c r="H4" s="23">
        <v>24</v>
      </c>
      <c r="I4" s="23">
        <v>35</v>
      </c>
      <c r="J4" s="24">
        <v>50</v>
      </c>
    </row>
    <row r="5" spans="1:10" ht="16.2" thickBot="1" x14ac:dyDescent="0.35">
      <c r="A5" s="74"/>
      <c r="B5" s="50"/>
      <c r="C5" s="1">
        <v>10</v>
      </c>
      <c r="D5" s="1">
        <v>10</v>
      </c>
      <c r="E5" s="1">
        <v>10</v>
      </c>
      <c r="F5" s="1">
        <v>10</v>
      </c>
      <c r="G5" s="1">
        <v>10</v>
      </c>
      <c r="H5" s="1">
        <v>10</v>
      </c>
      <c r="I5" s="1">
        <v>10</v>
      </c>
      <c r="J5" s="19">
        <v>10</v>
      </c>
    </row>
    <row r="6" spans="1:10" ht="15.6" x14ac:dyDescent="0.3">
      <c r="A6" s="47">
        <v>3</v>
      </c>
      <c r="B6" s="49">
        <v>6</v>
      </c>
      <c r="C6" s="23">
        <v>17.5</v>
      </c>
      <c r="D6" s="23">
        <v>19</v>
      </c>
      <c r="E6" s="23">
        <v>20</v>
      </c>
      <c r="F6" s="23">
        <v>23</v>
      </c>
      <c r="G6" s="23">
        <v>27</v>
      </c>
      <c r="H6" s="23">
        <v>33</v>
      </c>
      <c r="I6" s="23">
        <v>45</v>
      </c>
      <c r="J6" s="24">
        <v>63</v>
      </c>
    </row>
    <row r="7" spans="1:10" ht="16.2" thickBot="1" x14ac:dyDescent="0.35">
      <c r="A7" s="48"/>
      <c r="B7" s="50"/>
      <c r="C7" s="1">
        <v>15</v>
      </c>
      <c r="D7" s="1">
        <v>15</v>
      </c>
      <c r="E7" s="1">
        <v>15</v>
      </c>
      <c r="F7" s="1">
        <v>15</v>
      </c>
      <c r="G7" s="1">
        <v>15</v>
      </c>
      <c r="H7" s="1">
        <v>15</v>
      </c>
      <c r="I7" s="1">
        <v>15</v>
      </c>
      <c r="J7" s="19">
        <v>15</v>
      </c>
    </row>
    <row r="8" spans="1:10" ht="15.6" x14ac:dyDescent="0.3">
      <c r="A8" s="47">
        <v>6</v>
      </c>
      <c r="B8" s="49">
        <v>10</v>
      </c>
      <c r="C8" s="23">
        <v>21.5</v>
      </c>
      <c r="D8" s="23">
        <v>23</v>
      </c>
      <c r="E8" s="23">
        <v>25</v>
      </c>
      <c r="F8" s="23">
        <v>28</v>
      </c>
      <c r="G8" s="23">
        <v>34</v>
      </c>
      <c r="H8" s="23">
        <v>41</v>
      </c>
      <c r="I8" s="23">
        <v>55</v>
      </c>
      <c r="J8" s="24">
        <v>77</v>
      </c>
    </row>
    <row r="9" spans="1:10" ht="16.2" thickBot="1" x14ac:dyDescent="0.35">
      <c r="A9" s="48"/>
      <c r="B9" s="50"/>
      <c r="C9" s="1">
        <v>19</v>
      </c>
      <c r="D9" s="1">
        <v>19</v>
      </c>
      <c r="E9" s="1">
        <v>19</v>
      </c>
      <c r="F9" s="1">
        <v>19</v>
      </c>
      <c r="G9" s="1">
        <v>19</v>
      </c>
      <c r="H9" s="1">
        <v>19</v>
      </c>
      <c r="I9" s="1">
        <v>19</v>
      </c>
      <c r="J9" s="19">
        <v>19</v>
      </c>
    </row>
    <row r="10" spans="1:10" ht="15.6" x14ac:dyDescent="0.3">
      <c r="A10" s="47">
        <v>10</v>
      </c>
      <c r="B10" s="49">
        <v>18</v>
      </c>
      <c r="C10" s="23">
        <v>26</v>
      </c>
      <c r="D10" s="23">
        <v>28</v>
      </c>
      <c r="E10" s="23">
        <v>31</v>
      </c>
      <c r="F10" s="23">
        <v>34</v>
      </c>
      <c r="G10" s="23">
        <v>41</v>
      </c>
      <c r="H10" s="23">
        <v>50</v>
      </c>
      <c r="I10" s="23">
        <v>66</v>
      </c>
      <c r="J10" s="24">
        <v>93</v>
      </c>
    </row>
    <row r="11" spans="1:10" ht="16.2" thickBot="1" x14ac:dyDescent="0.35">
      <c r="A11" s="48"/>
      <c r="B11" s="50"/>
      <c r="C11" s="1">
        <v>23</v>
      </c>
      <c r="D11" s="1">
        <v>23</v>
      </c>
      <c r="E11" s="1">
        <v>23</v>
      </c>
      <c r="F11" s="1">
        <v>23</v>
      </c>
      <c r="G11" s="1">
        <v>23</v>
      </c>
      <c r="H11" s="1">
        <v>23</v>
      </c>
      <c r="I11" s="1">
        <v>23</v>
      </c>
      <c r="J11" s="19">
        <v>23</v>
      </c>
    </row>
    <row r="12" spans="1:10" ht="15.6" x14ac:dyDescent="0.3">
      <c r="A12" s="47">
        <v>18</v>
      </c>
      <c r="B12" s="49">
        <v>30</v>
      </c>
      <c r="C12" s="23">
        <v>32</v>
      </c>
      <c r="D12" s="23">
        <v>34</v>
      </c>
      <c r="E12" s="23">
        <v>37</v>
      </c>
      <c r="F12" s="23">
        <v>41</v>
      </c>
      <c r="G12" s="23">
        <v>49</v>
      </c>
      <c r="H12" s="23">
        <v>61</v>
      </c>
      <c r="I12" s="23">
        <v>80</v>
      </c>
      <c r="J12" s="24">
        <v>112</v>
      </c>
    </row>
    <row r="13" spans="1:10" ht="16.2" thickBot="1" x14ac:dyDescent="0.35">
      <c r="A13" s="48"/>
      <c r="B13" s="50"/>
      <c r="C13" s="1">
        <v>28</v>
      </c>
      <c r="D13" s="1">
        <v>28</v>
      </c>
      <c r="E13" s="1">
        <v>28</v>
      </c>
      <c r="F13" s="1">
        <v>28</v>
      </c>
      <c r="G13" s="1">
        <v>28</v>
      </c>
      <c r="H13" s="1">
        <v>28</v>
      </c>
      <c r="I13" s="1">
        <v>28</v>
      </c>
      <c r="J13" s="19">
        <v>28</v>
      </c>
    </row>
    <row r="14" spans="1:10" ht="15.6" x14ac:dyDescent="0.3">
      <c r="A14" s="47">
        <v>30</v>
      </c>
      <c r="B14" s="49">
        <v>50</v>
      </c>
      <c r="C14" s="23">
        <v>38</v>
      </c>
      <c r="D14" s="23">
        <v>41</v>
      </c>
      <c r="E14" s="23">
        <v>45</v>
      </c>
      <c r="F14" s="23">
        <v>50</v>
      </c>
      <c r="G14" s="23">
        <v>59</v>
      </c>
      <c r="H14" s="23">
        <v>73</v>
      </c>
      <c r="I14" s="23">
        <v>96</v>
      </c>
      <c r="J14" s="24">
        <v>134</v>
      </c>
    </row>
    <row r="15" spans="1:10" ht="16.2" thickBot="1" x14ac:dyDescent="0.35">
      <c r="A15" s="48"/>
      <c r="B15" s="50"/>
      <c r="C15" s="1">
        <v>34</v>
      </c>
      <c r="D15" s="1">
        <v>34</v>
      </c>
      <c r="E15" s="1">
        <v>34</v>
      </c>
      <c r="F15" s="1">
        <v>34</v>
      </c>
      <c r="G15" s="1">
        <v>34</v>
      </c>
      <c r="H15" s="1">
        <v>34</v>
      </c>
      <c r="I15" s="1">
        <v>34</v>
      </c>
      <c r="J15" s="19">
        <v>34</v>
      </c>
    </row>
    <row r="16" spans="1:10" ht="15.6" x14ac:dyDescent="0.3">
      <c r="A16" s="47">
        <v>50</v>
      </c>
      <c r="B16" s="49">
        <v>65</v>
      </c>
      <c r="C16" s="75"/>
      <c r="D16" s="23">
        <v>49</v>
      </c>
      <c r="E16" s="23">
        <v>54</v>
      </c>
      <c r="F16" s="23">
        <v>60</v>
      </c>
      <c r="G16" s="23">
        <v>71</v>
      </c>
      <c r="H16" s="23">
        <v>87</v>
      </c>
      <c r="I16" s="75"/>
      <c r="J16" s="77"/>
    </row>
    <row r="17" spans="1:10" ht="16.2" thickBot="1" x14ac:dyDescent="0.35">
      <c r="A17" s="48"/>
      <c r="B17" s="50"/>
      <c r="C17" s="76"/>
      <c r="D17" s="1">
        <v>41</v>
      </c>
      <c r="E17" s="1">
        <v>41</v>
      </c>
      <c r="F17" s="1">
        <v>41</v>
      </c>
      <c r="G17" s="1">
        <v>41</v>
      </c>
      <c r="H17" s="1">
        <v>41</v>
      </c>
      <c r="I17" s="76"/>
      <c r="J17" s="78"/>
    </row>
    <row r="18" spans="1:10" ht="15.6" x14ac:dyDescent="0.3">
      <c r="A18" s="47">
        <v>65</v>
      </c>
      <c r="B18" s="49">
        <v>80</v>
      </c>
      <c r="C18" s="75"/>
      <c r="D18" s="23">
        <v>51</v>
      </c>
      <c r="E18" s="23">
        <v>56</v>
      </c>
      <c r="F18" s="23">
        <v>62</v>
      </c>
      <c r="G18" s="23">
        <v>73</v>
      </c>
      <c r="H18" s="23">
        <v>89</v>
      </c>
      <c r="I18" s="75"/>
      <c r="J18" s="77"/>
    </row>
    <row r="19" spans="1:10" ht="16.2" thickBot="1" x14ac:dyDescent="0.35">
      <c r="A19" s="48"/>
      <c r="B19" s="50"/>
      <c r="C19" s="76"/>
      <c r="D19" s="1">
        <v>43</v>
      </c>
      <c r="E19" s="1">
        <v>43</v>
      </c>
      <c r="F19" s="1">
        <v>43</v>
      </c>
      <c r="G19" s="1">
        <v>43</v>
      </c>
      <c r="H19" s="1">
        <v>43</v>
      </c>
      <c r="I19" s="76"/>
      <c r="J19" s="78"/>
    </row>
    <row r="20" spans="1:10" ht="15.6" x14ac:dyDescent="0.3">
      <c r="A20" s="47">
        <v>80</v>
      </c>
      <c r="B20" s="49">
        <v>100</v>
      </c>
      <c r="C20" s="75"/>
      <c r="D20" s="23">
        <v>61</v>
      </c>
      <c r="E20" s="23">
        <v>66</v>
      </c>
      <c r="F20" s="23">
        <v>73</v>
      </c>
      <c r="G20" s="23">
        <v>86</v>
      </c>
      <c r="H20" s="23">
        <v>105</v>
      </c>
      <c r="I20" s="75"/>
      <c r="J20" s="77"/>
    </row>
    <row r="21" spans="1:10" ht="16.2" thickBot="1" x14ac:dyDescent="0.35">
      <c r="A21" s="48"/>
      <c r="B21" s="50"/>
      <c r="C21" s="76"/>
      <c r="D21" s="1">
        <v>51</v>
      </c>
      <c r="E21" s="1">
        <v>51</v>
      </c>
      <c r="F21" s="1">
        <v>51</v>
      </c>
      <c r="G21" s="1">
        <v>51</v>
      </c>
      <c r="H21" s="1">
        <v>51</v>
      </c>
      <c r="I21" s="76"/>
      <c r="J21" s="78"/>
    </row>
    <row r="22" spans="1:10" ht="15.6" x14ac:dyDescent="0.3">
      <c r="A22" s="47">
        <v>100</v>
      </c>
      <c r="B22" s="49">
        <v>120</v>
      </c>
      <c r="C22" s="75"/>
      <c r="D22" s="23">
        <v>64</v>
      </c>
      <c r="E22" s="23">
        <v>69</v>
      </c>
      <c r="F22" s="23">
        <v>76</v>
      </c>
      <c r="G22" s="23">
        <v>89</v>
      </c>
      <c r="H22" s="23">
        <v>108</v>
      </c>
      <c r="I22" s="75"/>
      <c r="J22" s="77"/>
    </row>
    <row r="23" spans="1:10" ht="16.2" thickBot="1" x14ac:dyDescent="0.35">
      <c r="A23" s="48"/>
      <c r="B23" s="50"/>
      <c r="C23" s="76"/>
      <c r="D23" s="1">
        <v>54</v>
      </c>
      <c r="E23" s="1">
        <v>54</v>
      </c>
      <c r="F23" s="1">
        <v>54</v>
      </c>
      <c r="G23" s="1">
        <v>54</v>
      </c>
      <c r="H23" s="1">
        <v>54</v>
      </c>
      <c r="I23" s="76"/>
      <c r="J23" s="78"/>
    </row>
    <row r="24" spans="1:10" ht="15.6" x14ac:dyDescent="0.3">
      <c r="A24" s="47">
        <v>120</v>
      </c>
      <c r="B24" s="49">
        <v>140</v>
      </c>
      <c r="C24" s="75"/>
      <c r="D24" s="23">
        <v>75</v>
      </c>
      <c r="E24" s="23">
        <v>81</v>
      </c>
      <c r="F24" s="23">
        <v>88</v>
      </c>
      <c r="G24" s="23">
        <v>103</v>
      </c>
      <c r="H24" s="23">
        <v>126</v>
      </c>
      <c r="I24" s="75"/>
      <c r="J24" s="77"/>
    </row>
    <row r="25" spans="1:10" ht="16.2" thickBot="1" x14ac:dyDescent="0.35">
      <c r="A25" s="48"/>
      <c r="B25" s="50"/>
      <c r="C25" s="76"/>
      <c r="D25" s="1">
        <v>63</v>
      </c>
      <c r="E25" s="1">
        <v>63</v>
      </c>
      <c r="F25" s="1">
        <v>63</v>
      </c>
      <c r="G25" s="1">
        <v>63</v>
      </c>
      <c r="H25" s="1">
        <v>63</v>
      </c>
      <c r="I25" s="76"/>
      <c r="J25" s="78"/>
    </row>
    <row r="26" spans="1:10" ht="15.6" x14ac:dyDescent="0.3">
      <c r="A26" s="47">
        <v>140</v>
      </c>
      <c r="B26" s="49">
        <v>160</v>
      </c>
      <c r="C26" s="75"/>
      <c r="D26" s="23">
        <v>77</v>
      </c>
      <c r="E26" s="23">
        <v>83</v>
      </c>
      <c r="F26" s="23">
        <v>90</v>
      </c>
      <c r="G26" s="23">
        <v>105</v>
      </c>
      <c r="H26" s="23">
        <v>128</v>
      </c>
      <c r="I26" s="75"/>
      <c r="J26" s="77"/>
    </row>
    <row r="27" spans="1:10" ht="16.2" thickBot="1" x14ac:dyDescent="0.35">
      <c r="A27" s="48"/>
      <c r="B27" s="50"/>
      <c r="C27" s="76"/>
      <c r="D27" s="1">
        <v>65</v>
      </c>
      <c r="E27" s="1">
        <v>65</v>
      </c>
      <c r="F27" s="1">
        <v>65</v>
      </c>
      <c r="G27" s="1">
        <v>65</v>
      </c>
      <c r="H27" s="1">
        <v>65</v>
      </c>
      <c r="I27" s="76"/>
      <c r="J27" s="78"/>
    </row>
    <row r="28" spans="1:10" ht="15.6" x14ac:dyDescent="0.3">
      <c r="A28" s="47">
        <v>160</v>
      </c>
      <c r="B28" s="49">
        <v>180</v>
      </c>
      <c r="C28" s="75"/>
      <c r="D28" s="23">
        <v>80</v>
      </c>
      <c r="E28" s="23">
        <v>86</v>
      </c>
      <c r="F28" s="23">
        <v>93</v>
      </c>
      <c r="G28" s="23">
        <v>108</v>
      </c>
      <c r="H28" s="23">
        <v>131</v>
      </c>
      <c r="I28" s="75"/>
      <c r="J28" s="77"/>
    </row>
    <row r="29" spans="1:10" ht="16.2" thickBot="1" x14ac:dyDescent="0.35">
      <c r="A29" s="48"/>
      <c r="B29" s="50"/>
      <c r="C29" s="76"/>
      <c r="D29" s="1">
        <v>68</v>
      </c>
      <c r="E29" s="1">
        <v>68</v>
      </c>
      <c r="F29" s="1">
        <v>68</v>
      </c>
      <c r="G29" s="1">
        <v>68</v>
      </c>
      <c r="H29" s="1">
        <v>68</v>
      </c>
      <c r="I29" s="76"/>
      <c r="J29" s="78"/>
    </row>
    <row r="30" spans="1:10" ht="15.6" x14ac:dyDescent="0.3">
      <c r="A30" s="47">
        <v>180</v>
      </c>
      <c r="B30" s="49">
        <v>200</v>
      </c>
      <c r="C30" s="75"/>
      <c r="D30" s="23">
        <v>91</v>
      </c>
      <c r="E30" s="23">
        <v>97</v>
      </c>
      <c r="F30" s="23">
        <v>106</v>
      </c>
      <c r="G30" s="23">
        <v>123</v>
      </c>
      <c r="H30" s="23">
        <v>149</v>
      </c>
      <c r="I30" s="75"/>
      <c r="J30" s="77"/>
    </row>
    <row r="31" spans="1:10" ht="16.2" thickBot="1" x14ac:dyDescent="0.35">
      <c r="A31" s="48"/>
      <c r="B31" s="50"/>
      <c r="C31" s="76"/>
      <c r="D31" s="1">
        <v>77</v>
      </c>
      <c r="E31" s="1">
        <v>77</v>
      </c>
      <c r="F31" s="1">
        <v>77</v>
      </c>
      <c r="G31" s="1">
        <v>77</v>
      </c>
      <c r="H31" s="1">
        <v>77</v>
      </c>
      <c r="I31" s="76"/>
      <c r="J31" s="78"/>
    </row>
    <row r="32" spans="1:10" ht="15.6" x14ac:dyDescent="0.3">
      <c r="A32" s="47">
        <v>200</v>
      </c>
      <c r="B32" s="49">
        <v>225</v>
      </c>
      <c r="C32" s="75"/>
      <c r="D32" s="23">
        <v>94</v>
      </c>
      <c r="E32" s="23">
        <v>100</v>
      </c>
      <c r="F32" s="23">
        <v>109</v>
      </c>
      <c r="G32" s="23">
        <v>126</v>
      </c>
      <c r="H32" s="23">
        <v>152</v>
      </c>
      <c r="I32" s="75"/>
      <c r="J32" s="77"/>
    </row>
    <row r="33" spans="1:10" ht="16.2" thickBot="1" x14ac:dyDescent="0.35">
      <c r="A33" s="48"/>
      <c r="B33" s="50"/>
      <c r="C33" s="76"/>
      <c r="D33" s="1">
        <v>80</v>
      </c>
      <c r="E33" s="1">
        <v>80</v>
      </c>
      <c r="F33" s="1">
        <v>80</v>
      </c>
      <c r="G33" s="1">
        <v>80</v>
      </c>
      <c r="H33" s="1">
        <v>80</v>
      </c>
      <c r="I33" s="76"/>
      <c r="J33" s="78"/>
    </row>
    <row r="34" spans="1:10" ht="15.6" x14ac:dyDescent="0.3">
      <c r="A34" s="47">
        <v>225</v>
      </c>
      <c r="B34" s="49">
        <v>250</v>
      </c>
      <c r="C34" s="75"/>
      <c r="D34" s="23">
        <v>98</v>
      </c>
      <c r="E34" s="23">
        <v>104</v>
      </c>
      <c r="F34" s="23">
        <v>113</v>
      </c>
      <c r="G34" s="23">
        <v>130</v>
      </c>
      <c r="H34" s="23">
        <v>156</v>
      </c>
      <c r="I34" s="75"/>
      <c r="J34" s="77"/>
    </row>
    <row r="35" spans="1:10" ht="16.2" thickBot="1" x14ac:dyDescent="0.35">
      <c r="A35" s="48"/>
      <c r="B35" s="50"/>
      <c r="C35" s="76"/>
      <c r="D35" s="1">
        <v>84</v>
      </c>
      <c r="E35" s="1">
        <v>84</v>
      </c>
      <c r="F35" s="1">
        <v>84</v>
      </c>
      <c r="G35" s="1">
        <v>84</v>
      </c>
      <c r="H35" s="1">
        <v>84</v>
      </c>
      <c r="I35" s="76"/>
      <c r="J35" s="78"/>
    </row>
    <row r="36" spans="1:10" ht="15.6" x14ac:dyDescent="0.3">
      <c r="A36" s="47">
        <v>250</v>
      </c>
      <c r="B36" s="49">
        <v>280</v>
      </c>
      <c r="C36" s="75"/>
      <c r="D36" s="23">
        <v>110</v>
      </c>
      <c r="E36" s="23">
        <v>117</v>
      </c>
      <c r="F36" s="23">
        <v>126</v>
      </c>
      <c r="G36" s="23">
        <v>146</v>
      </c>
      <c r="H36" s="23">
        <v>175</v>
      </c>
      <c r="I36" s="75"/>
      <c r="J36" s="77"/>
    </row>
    <row r="37" spans="1:10" ht="16.2" thickBot="1" x14ac:dyDescent="0.35">
      <c r="A37" s="48"/>
      <c r="B37" s="50"/>
      <c r="C37" s="76"/>
      <c r="D37" s="1">
        <v>94</v>
      </c>
      <c r="E37" s="1">
        <v>94</v>
      </c>
      <c r="F37" s="1">
        <v>94</v>
      </c>
      <c r="G37" s="1">
        <v>94</v>
      </c>
      <c r="H37" s="1">
        <v>94</v>
      </c>
      <c r="I37" s="76"/>
      <c r="J37" s="78"/>
    </row>
    <row r="38" spans="1:10" ht="15.6" x14ac:dyDescent="0.3">
      <c r="A38" s="47">
        <v>280</v>
      </c>
      <c r="B38" s="49">
        <v>315</v>
      </c>
      <c r="C38" s="75"/>
      <c r="D38" s="23">
        <v>114</v>
      </c>
      <c r="E38" s="23">
        <v>121</v>
      </c>
      <c r="F38" s="23">
        <v>130</v>
      </c>
      <c r="G38" s="23">
        <v>150</v>
      </c>
      <c r="H38" s="23">
        <v>179</v>
      </c>
      <c r="I38" s="75"/>
      <c r="J38" s="77"/>
    </row>
    <row r="39" spans="1:10" ht="16.2" thickBot="1" x14ac:dyDescent="0.35">
      <c r="A39" s="48"/>
      <c r="B39" s="50"/>
      <c r="C39" s="76"/>
      <c r="D39" s="1">
        <v>98</v>
      </c>
      <c r="E39" s="1">
        <v>98</v>
      </c>
      <c r="F39" s="1">
        <v>98</v>
      </c>
      <c r="G39" s="1">
        <v>98</v>
      </c>
      <c r="H39" s="1">
        <v>98</v>
      </c>
      <c r="I39" s="76"/>
      <c r="J39" s="78"/>
    </row>
    <row r="40" spans="1:10" ht="15.6" x14ac:dyDescent="0.3">
      <c r="A40" s="47">
        <v>315</v>
      </c>
      <c r="B40" s="49">
        <v>355</v>
      </c>
      <c r="C40" s="75"/>
      <c r="D40" s="23">
        <v>126</v>
      </c>
      <c r="E40" s="23">
        <v>133</v>
      </c>
      <c r="F40" s="23">
        <v>144</v>
      </c>
      <c r="G40" s="23">
        <v>165</v>
      </c>
      <c r="H40" s="23">
        <v>197</v>
      </c>
      <c r="I40" s="75"/>
      <c r="J40" s="77"/>
    </row>
    <row r="41" spans="1:10" ht="16.2" thickBot="1" x14ac:dyDescent="0.35">
      <c r="A41" s="48"/>
      <c r="B41" s="50"/>
      <c r="C41" s="76"/>
      <c r="D41" s="1">
        <v>108</v>
      </c>
      <c r="E41" s="1">
        <v>108</v>
      </c>
      <c r="F41" s="1">
        <v>108</v>
      </c>
      <c r="G41" s="1">
        <v>108</v>
      </c>
      <c r="H41" s="1">
        <v>108</v>
      </c>
      <c r="I41" s="76"/>
      <c r="J41" s="78"/>
    </row>
    <row r="42" spans="1:10" ht="15.6" x14ac:dyDescent="0.3">
      <c r="A42" s="47">
        <v>355</v>
      </c>
      <c r="B42" s="49">
        <v>400</v>
      </c>
      <c r="C42" s="75"/>
      <c r="D42" s="23">
        <v>132</v>
      </c>
      <c r="E42" s="23">
        <v>139</v>
      </c>
      <c r="F42" s="23">
        <v>150</v>
      </c>
      <c r="G42" s="23">
        <v>171</v>
      </c>
      <c r="H42" s="23">
        <v>203</v>
      </c>
      <c r="I42" s="75"/>
      <c r="J42" s="77"/>
    </row>
    <row r="43" spans="1:10" ht="16.2" thickBot="1" x14ac:dyDescent="0.35">
      <c r="A43" s="48"/>
      <c r="B43" s="50"/>
      <c r="C43" s="76"/>
      <c r="D43" s="1">
        <v>114</v>
      </c>
      <c r="E43" s="1">
        <v>114</v>
      </c>
      <c r="F43" s="1">
        <v>114</v>
      </c>
      <c r="G43" s="1">
        <v>114</v>
      </c>
      <c r="H43" s="1">
        <v>114</v>
      </c>
      <c r="I43" s="76"/>
      <c r="J43" s="78"/>
    </row>
    <row r="44" spans="1:10" ht="15.6" x14ac:dyDescent="0.3">
      <c r="A44" s="47">
        <v>400</v>
      </c>
      <c r="B44" s="49">
        <v>450</v>
      </c>
      <c r="C44" s="75"/>
      <c r="D44" s="23">
        <v>146</v>
      </c>
      <c r="E44" s="23">
        <v>153</v>
      </c>
      <c r="F44" s="23">
        <v>166</v>
      </c>
      <c r="G44" s="23">
        <v>189</v>
      </c>
      <c r="H44" s="23">
        <v>223</v>
      </c>
      <c r="I44" s="75"/>
      <c r="J44" s="77"/>
    </row>
    <row r="45" spans="1:10" ht="16.2" thickBot="1" x14ac:dyDescent="0.35">
      <c r="A45" s="48"/>
      <c r="B45" s="50"/>
      <c r="C45" s="76"/>
      <c r="D45" s="1">
        <v>126</v>
      </c>
      <c r="E45" s="1">
        <v>126</v>
      </c>
      <c r="F45" s="1">
        <v>126</v>
      </c>
      <c r="G45" s="1">
        <v>126</v>
      </c>
      <c r="H45" s="1">
        <v>126</v>
      </c>
      <c r="I45" s="76"/>
      <c r="J45" s="78"/>
    </row>
    <row r="46" spans="1:10" ht="15.6" x14ac:dyDescent="0.3">
      <c r="A46" s="47">
        <v>450</v>
      </c>
      <c r="B46" s="49">
        <v>500</v>
      </c>
      <c r="C46" s="75"/>
      <c r="D46" s="23">
        <v>152</v>
      </c>
      <c r="E46" s="23">
        <v>159</v>
      </c>
      <c r="F46" s="23">
        <v>172</v>
      </c>
      <c r="G46" s="23">
        <v>195</v>
      </c>
      <c r="H46" s="23">
        <v>229</v>
      </c>
      <c r="I46" s="75"/>
      <c r="J46" s="77"/>
    </row>
    <row r="47" spans="1:10" ht="16.2" thickBot="1" x14ac:dyDescent="0.35">
      <c r="A47" s="120"/>
      <c r="B47" s="121"/>
      <c r="C47" s="122"/>
      <c r="D47" s="35">
        <v>132</v>
      </c>
      <c r="E47" s="35">
        <v>132</v>
      </c>
      <c r="F47" s="35">
        <v>132</v>
      </c>
      <c r="G47" s="35">
        <v>132</v>
      </c>
      <c r="H47" s="35">
        <v>132</v>
      </c>
      <c r="I47" s="122"/>
      <c r="J47" s="123"/>
    </row>
    <row r="48" spans="1:10" ht="16.2" thickTop="1" x14ac:dyDescent="0.3">
      <c r="A48" s="47">
        <v>500</v>
      </c>
      <c r="B48" s="49">
        <v>560</v>
      </c>
      <c r="C48" s="75"/>
      <c r="D48" s="75"/>
      <c r="E48" s="75"/>
      <c r="F48" s="23">
        <v>194</v>
      </c>
      <c r="G48" s="23">
        <v>220</v>
      </c>
      <c r="H48" s="23">
        <v>260</v>
      </c>
      <c r="I48" s="75"/>
      <c r="J48" s="77"/>
    </row>
    <row r="49" spans="1:10" ht="16.2" thickBot="1" x14ac:dyDescent="0.35">
      <c r="A49" s="48"/>
      <c r="B49" s="50"/>
      <c r="C49" s="76"/>
      <c r="D49" s="76"/>
      <c r="E49" s="76"/>
      <c r="F49" s="1">
        <v>150</v>
      </c>
      <c r="G49" s="1">
        <v>150</v>
      </c>
      <c r="H49" s="1">
        <v>150</v>
      </c>
      <c r="I49" s="76"/>
      <c r="J49" s="78"/>
    </row>
    <row r="50" spans="1:10" ht="15.6" x14ac:dyDescent="0.3">
      <c r="A50" s="47">
        <v>560</v>
      </c>
      <c r="B50" s="49">
        <v>630</v>
      </c>
      <c r="C50" s="75"/>
      <c r="D50" s="75"/>
      <c r="E50" s="75"/>
      <c r="F50" s="23">
        <v>199</v>
      </c>
      <c r="G50" s="23">
        <v>225</v>
      </c>
      <c r="H50" s="23">
        <v>265</v>
      </c>
      <c r="I50" s="75"/>
      <c r="J50" s="77"/>
    </row>
    <row r="51" spans="1:10" ht="16.2" thickBot="1" x14ac:dyDescent="0.35">
      <c r="A51" s="48"/>
      <c r="B51" s="50"/>
      <c r="C51" s="76"/>
      <c r="D51" s="76"/>
      <c r="E51" s="76"/>
      <c r="F51" s="1">
        <v>155</v>
      </c>
      <c r="G51" s="1">
        <v>155</v>
      </c>
      <c r="H51" s="1">
        <v>155</v>
      </c>
      <c r="I51" s="76"/>
      <c r="J51" s="78"/>
    </row>
    <row r="52" spans="1:10" ht="15.6" x14ac:dyDescent="0.3">
      <c r="A52" s="47">
        <v>630</v>
      </c>
      <c r="B52" s="49">
        <v>710</v>
      </c>
      <c r="C52" s="75"/>
      <c r="D52" s="75"/>
      <c r="E52" s="75"/>
      <c r="F52" s="23">
        <v>225</v>
      </c>
      <c r="G52" s="23">
        <v>255</v>
      </c>
      <c r="H52" s="23">
        <v>300</v>
      </c>
      <c r="I52" s="75"/>
      <c r="J52" s="77"/>
    </row>
    <row r="53" spans="1:10" ht="16.2" thickBot="1" x14ac:dyDescent="0.35">
      <c r="A53" s="48"/>
      <c r="B53" s="50"/>
      <c r="C53" s="76"/>
      <c r="D53" s="76"/>
      <c r="E53" s="76"/>
      <c r="F53" s="1">
        <v>175</v>
      </c>
      <c r="G53" s="1">
        <v>175</v>
      </c>
      <c r="H53" s="1">
        <v>175</v>
      </c>
      <c r="I53" s="76"/>
      <c r="J53" s="78"/>
    </row>
    <row r="54" spans="1:10" ht="15.6" x14ac:dyDescent="0.3">
      <c r="A54" s="47">
        <v>710</v>
      </c>
      <c r="B54" s="49">
        <v>800</v>
      </c>
      <c r="C54" s="75"/>
      <c r="D54" s="75"/>
      <c r="E54" s="75"/>
      <c r="F54" s="23">
        <v>235</v>
      </c>
      <c r="G54" s="23">
        <v>265</v>
      </c>
      <c r="H54" s="23">
        <v>310</v>
      </c>
      <c r="I54" s="75"/>
      <c r="J54" s="77"/>
    </row>
    <row r="55" spans="1:10" ht="16.2" thickBot="1" x14ac:dyDescent="0.35">
      <c r="A55" s="48"/>
      <c r="B55" s="50"/>
      <c r="C55" s="76"/>
      <c r="D55" s="76"/>
      <c r="E55" s="76"/>
      <c r="F55" s="1">
        <v>185</v>
      </c>
      <c r="G55" s="1">
        <v>185</v>
      </c>
      <c r="H55" s="1">
        <v>185</v>
      </c>
      <c r="I55" s="76"/>
      <c r="J55" s="78"/>
    </row>
    <row r="56" spans="1:10" ht="15.6" x14ac:dyDescent="0.3">
      <c r="A56" s="47">
        <v>800</v>
      </c>
      <c r="B56" s="49">
        <v>900</v>
      </c>
      <c r="C56" s="75"/>
      <c r="D56" s="75"/>
      <c r="E56" s="75"/>
      <c r="F56" s="23">
        <v>266</v>
      </c>
      <c r="G56" s="23">
        <v>300</v>
      </c>
      <c r="H56" s="23">
        <v>350</v>
      </c>
      <c r="I56" s="75"/>
      <c r="J56" s="77"/>
    </row>
    <row r="57" spans="1:10" ht="16.2" thickBot="1" x14ac:dyDescent="0.35">
      <c r="A57" s="48"/>
      <c r="B57" s="50"/>
      <c r="C57" s="76"/>
      <c r="D57" s="76"/>
      <c r="E57" s="76"/>
      <c r="F57" s="1">
        <v>210</v>
      </c>
      <c r="G57" s="1">
        <v>210</v>
      </c>
      <c r="H57" s="1">
        <v>210</v>
      </c>
      <c r="I57" s="76"/>
      <c r="J57" s="78"/>
    </row>
    <row r="58" spans="1:10" ht="15.6" x14ac:dyDescent="0.3">
      <c r="A58" s="47">
        <v>900</v>
      </c>
      <c r="B58" s="79">
        <v>1000</v>
      </c>
      <c r="C58" s="75"/>
      <c r="D58" s="75"/>
      <c r="E58" s="75"/>
      <c r="F58" s="23">
        <v>276</v>
      </c>
      <c r="G58" s="23">
        <v>310</v>
      </c>
      <c r="H58" s="23">
        <v>360</v>
      </c>
      <c r="I58" s="75"/>
      <c r="J58" s="77"/>
    </row>
    <row r="59" spans="1:10" ht="16.2" thickBot="1" x14ac:dyDescent="0.35">
      <c r="A59" s="48"/>
      <c r="B59" s="80"/>
      <c r="C59" s="76"/>
      <c r="D59" s="76"/>
      <c r="E59" s="76"/>
      <c r="F59" s="1">
        <v>220</v>
      </c>
      <c r="G59" s="1">
        <v>220</v>
      </c>
      <c r="H59" s="1">
        <v>220</v>
      </c>
      <c r="I59" s="76"/>
      <c r="J59" s="78"/>
    </row>
    <row r="60" spans="1:10" ht="15.6" x14ac:dyDescent="0.3">
      <c r="A60" s="81">
        <v>1000</v>
      </c>
      <c r="B60" s="79">
        <v>1120</v>
      </c>
      <c r="C60" s="75"/>
      <c r="D60" s="75"/>
      <c r="E60" s="75"/>
      <c r="F60" s="23">
        <v>316</v>
      </c>
      <c r="G60" s="23">
        <v>355</v>
      </c>
      <c r="H60" s="23">
        <v>415</v>
      </c>
      <c r="I60" s="75"/>
      <c r="J60" s="77"/>
    </row>
    <row r="61" spans="1:10" ht="16.2" thickBot="1" x14ac:dyDescent="0.35">
      <c r="A61" s="82"/>
      <c r="B61" s="80"/>
      <c r="C61" s="76"/>
      <c r="D61" s="76"/>
      <c r="E61" s="76"/>
      <c r="F61" s="1">
        <v>250</v>
      </c>
      <c r="G61" s="1">
        <v>250</v>
      </c>
      <c r="H61" s="1">
        <v>250</v>
      </c>
      <c r="I61" s="76"/>
      <c r="J61" s="78"/>
    </row>
    <row r="62" spans="1:10" ht="15.6" x14ac:dyDescent="0.3">
      <c r="A62" s="81">
        <v>1120</v>
      </c>
      <c r="B62" s="79">
        <v>1250</v>
      </c>
      <c r="C62" s="75"/>
      <c r="D62" s="75"/>
      <c r="E62" s="75"/>
      <c r="F62" s="23">
        <v>326</v>
      </c>
      <c r="G62" s="23">
        <v>365</v>
      </c>
      <c r="H62" s="23">
        <v>425</v>
      </c>
      <c r="I62" s="75"/>
      <c r="J62" s="77"/>
    </row>
    <row r="63" spans="1:10" ht="16.2" thickBot="1" x14ac:dyDescent="0.35">
      <c r="A63" s="82"/>
      <c r="B63" s="80"/>
      <c r="C63" s="76"/>
      <c r="D63" s="76"/>
      <c r="E63" s="76"/>
      <c r="F63" s="1">
        <v>260</v>
      </c>
      <c r="G63" s="1">
        <v>260</v>
      </c>
      <c r="H63" s="1">
        <v>260</v>
      </c>
      <c r="I63" s="76"/>
      <c r="J63" s="78"/>
    </row>
    <row r="64" spans="1:10" ht="15.6" x14ac:dyDescent="0.3">
      <c r="A64" s="81">
        <v>1250</v>
      </c>
      <c r="B64" s="79">
        <v>1400</v>
      </c>
      <c r="C64" s="75"/>
      <c r="D64" s="75"/>
      <c r="E64" s="75"/>
      <c r="F64" s="23">
        <v>378</v>
      </c>
      <c r="G64" s="23">
        <v>425</v>
      </c>
      <c r="H64" s="23">
        <v>495</v>
      </c>
      <c r="I64" s="75"/>
      <c r="J64" s="77"/>
    </row>
    <row r="65" spans="1:10" ht="16.2" thickBot="1" x14ac:dyDescent="0.35">
      <c r="A65" s="82"/>
      <c r="B65" s="80"/>
      <c r="C65" s="76"/>
      <c r="D65" s="76"/>
      <c r="E65" s="76"/>
      <c r="F65" s="1">
        <v>300</v>
      </c>
      <c r="G65" s="1">
        <v>300</v>
      </c>
      <c r="H65" s="1">
        <v>300</v>
      </c>
      <c r="I65" s="76"/>
      <c r="J65" s="78"/>
    </row>
    <row r="66" spans="1:10" ht="15.6" x14ac:dyDescent="0.3">
      <c r="A66" s="81">
        <v>1400</v>
      </c>
      <c r="B66" s="79">
        <v>1600</v>
      </c>
      <c r="C66" s="75"/>
      <c r="D66" s="75"/>
      <c r="E66" s="75"/>
      <c r="F66" s="23">
        <v>408</v>
      </c>
      <c r="G66" s="23">
        <v>455</v>
      </c>
      <c r="H66" s="23">
        <v>525</v>
      </c>
      <c r="I66" s="75"/>
      <c r="J66" s="77"/>
    </row>
    <row r="67" spans="1:10" ht="16.2" thickBot="1" x14ac:dyDescent="0.35">
      <c r="A67" s="82"/>
      <c r="B67" s="80"/>
      <c r="C67" s="76"/>
      <c r="D67" s="76"/>
      <c r="E67" s="76"/>
      <c r="F67" s="1">
        <v>330</v>
      </c>
      <c r="G67" s="1">
        <v>330</v>
      </c>
      <c r="H67" s="1">
        <v>330</v>
      </c>
      <c r="I67" s="76"/>
      <c r="J67" s="78"/>
    </row>
    <row r="68" spans="1:10" ht="15.6" x14ac:dyDescent="0.3">
      <c r="A68" s="81">
        <v>1600</v>
      </c>
      <c r="B68" s="79">
        <v>1800</v>
      </c>
      <c r="C68" s="75"/>
      <c r="D68" s="75"/>
      <c r="E68" s="75"/>
      <c r="F68" s="23">
        <v>462</v>
      </c>
      <c r="G68" s="23">
        <v>520</v>
      </c>
      <c r="H68" s="23">
        <v>600</v>
      </c>
      <c r="I68" s="75"/>
      <c r="J68" s="77"/>
    </row>
    <row r="69" spans="1:10" ht="16.2" thickBot="1" x14ac:dyDescent="0.35">
      <c r="A69" s="82"/>
      <c r="B69" s="80"/>
      <c r="C69" s="76"/>
      <c r="D69" s="76"/>
      <c r="E69" s="76"/>
      <c r="F69" s="1">
        <v>370</v>
      </c>
      <c r="G69" s="1">
        <v>370</v>
      </c>
      <c r="H69" s="1">
        <v>370</v>
      </c>
      <c r="I69" s="76"/>
      <c r="J69" s="78"/>
    </row>
    <row r="70" spans="1:10" ht="15.6" x14ac:dyDescent="0.3">
      <c r="A70" s="81">
        <v>1800</v>
      </c>
      <c r="B70" s="79">
        <v>2000</v>
      </c>
      <c r="C70" s="75"/>
      <c r="D70" s="75"/>
      <c r="E70" s="75"/>
      <c r="F70" s="23">
        <v>492</v>
      </c>
      <c r="G70" s="23">
        <v>550</v>
      </c>
      <c r="H70" s="23">
        <v>630</v>
      </c>
      <c r="I70" s="75"/>
      <c r="J70" s="77"/>
    </row>
    <row r="71" spans="1:10" ht="16.2" thickBot="1" x14ac:dyDescent="0.35">
      <c r="A71" s="82"/>
      <c r="B71" s="80"/>
      <c r="C71" s="76"/>
      <c r="D71" s="76"/>
      <c r="E71" s="76"/>
      <c r="F71" s="1">
        <v>400</v>
      </c>
      <c r="G71" s="1">
        <v>400</v>
      </c>
      <c r="H71" s="1">
        <v>400</v>
      </c>
      <c r="I71" s="76"/>
      <c r="J71" s="78"/>
    </row>
    <row r="72" spans="1:10" ht="15.6" x14ac:dyDescent="0.3">
      <c r="A72" s="81">
        <v>2000</v>
      </c>
      <c r="B72" s="79">
        <v>2240</v>
      </c>
      <c r="C72" s="75"/>
      <c r="D72" s="75"/>
      <c r="E72" s="75"/>
      <c r="F72" s="23">
        <v>550</v>
      </c>
      <c r="G72" s="23">
        <v>615</v>
      </c>
      <c r="H72" s="23">
        <v>720</v>
      </c>
      <c r="I72" s="75"/>
      <c r="J72" s="77"/>
    </row>
    <row r="73" spans="1:10" ht="16.2" thickBot="1" x14ac:dyDescent="0.35">
      <c r="A73" s="82"/>
      <c r="B73" s="80"/>
      <c r="C73" s="76"/>
      <c r="D73" s="76"/>
      <c r="E73" s="76"/>
      <c r="F73" s="1">
        <v>440</v>
      </c>
      <c r="G73" s="1">
        <v>440</v>
      </c>
      <c r="H73" s="1">
        <v>440</v>
      </c>
      <c r="I73" s="76"/>
      <c r="J73" s="78"/>
    </row>
    <row r="74" spans="1:10" ht="15.6" x14ac:dyDescent="0.3">
      <c r="A74" s="81">
        <v>2240</v>
      </c>
      <c r="B74" s="79">
        <v>2500</v>
      </c>
      <c r="C74" s="75"/>
      <c r="D74" s="75"/>
      <c r="E74" s="75"/>
      <c r="F74" s="23">
        <v>570</v>
      </c>
      <c r="G74" s="23">
        <v>635</v>
      </c>
      <c r="H74" s="23">
        <v>740</v>
      </c>
      <c r="I74" s="75"/>
      <c r="J74" s="77"/>
    </row>
    <row r="75" spans="1:10" ht="16.2" thickBot="1" x14ac:dyDescent="0.35">
      <c r="A75" s="82"/>
      <c r="B75" s="80"/>
      <c r="C75" s="76"/>
      <c r="D75" s="76"/>
      <c r="E75" s="76"/>
      <c r="F75" s="1">
        <v>460</v>
      </c>
      <c r="G75" s="1">
        <v>460</v>
      </c>
      <c r="H75" s="1">
        <v>460</v>
      </c>
      <c r="I75" s="76"/>
      <c r="J75" s="78"/>
    </row>
    <row r="76" spans="1:10" ht="15.6" x14ac:dyDescent="0.3">
      <c r="A76" s="81">
        <v>2500</v>
      </c>
      <c r="B76" s="79">
        <v>2800</v>
      </c>
      <c r="C76" s="75"/>
      <c r="D76" s="75"/>
      <c r="E76" s="75"/>
      <c r="F76" s="23">
        <v>685</v>
      </c>
      <c r="G76" s="23">
        <v>760</v>
      </c>
      <c r="H76" s="23">
        <v>880</v>
      </c>
      <c r="I76" s="75"/>
      <c r="J76" s="77"/>
    </row>
    <row r="77" spans="1:10" ht="16.2" thickBot="1" x14ac:dyDescent="0.35">
      <c r="A77" s="82"/>
      <c r="B77" s="80"/>
      <c r="C77" s="76"/>
      <c r="D77" s="76"/>
      <c r="E77" s="76"/>
      <c r="F77" s="1">
        <v>550</v>
      </c>
      <c r="G77" s="1">
        <v>550</v>
      </c>
      <c r="H77" s="1">
        <v>550</v>
      </c>
      <c r="I77" s="76"/>
      <c r="J77" s="78"/>
    </row>
    <row r="78" spans="1:10" ht="15.6" x14ac:dyDescent="0.3">
      <c r="A78" s="81">
        <v>2800</v>
      </c>
      <c r="B78" s="79">
        <v>3150</v>
      </c>
      <c r="C78" s="75"/>
      <c r="D78" s="75"/>
      <c r="E78" s="75"/>
      <c r="F78" s="23">
        <v>715</v>
      </c>
      <c r="G78" s="23">
        <v>790</v>
      </c>
      <c r="H78" s="23">
        <v>910</v>
      </c>
      <c r="I78" s="75"/>
      <c r="J78" s="77"/>
    </row>
    <row r="79" spans="1:10" ht="16.2" thickBot="1" x14ac:dyDescent="0.35">
      <c r="A79" s="96"/>
      <c r="B79" s="119"/>
      <c r="C79" s="122"/>
      <c r="D79" s="122"/>
      <c r="E79" s="122"/>
      <c r="F79" s="35">
        <v>580</v>
      </c>
      <c r="G79" s="35">
        <v>580</v>
      </c>
      <c r="H79" s="35">
        <v>580</v>
      </c>
      <c r="I79" s="122"/>
      <c r="J79" s="123"/>
    </row>
    <row r="80" spans="1:10" ht="15.6" thickTop="1" x14ac:dyDescent="0.3"/>
  </sheetData>
  <mergeCells count="207">
    <mergeCell ref="J78:J79"/>
    <mergeCell ref="A78:A79"/>
    <mergeCell ref="B78:B79"/>
    <mergeCell ref="C78:C79"/>
    <mergeCell ref="D78:D79"/>
    <mergeCell ref="E78:E79"/>
    <mergeCell ref="I78:I79"/>
    <mergeCell ref="J74:J75"/>
    <mergeCell ref="A76:A77"/>
    <mergeCell ref="B76:B77"/>
    <mergeCell ref="C76:C77"/>
    <mergeCell ref="D76:D77"/>
    <mergeCell ref="E76:E77"/>
    <mergeCell ref="I76:I77"/>
    <mergeCell ref="J76:J77"/>
    <mergeCell ref="A74:A75"/>
    <mergeCell ref="B74:B75"/>
    <mergeCell ref="C74:C75"/>
    <mergeCell ref="D74:D75"/>
    <mergeCell ref="E74:E75"/>
    <mergeCell ref="I74:I75"/>
    <mergeCell ref="J70:J71"/>
    <mergeCell ref="A72:A73"/>
    <mergeCell ref="B72:B73"/>
    <mergeCell ref="C72:C73"/>
    <mergeCell ref="D72:D73"/>
    <mergeCell ref="E72:E73"/>
    <mergeCell ref="I72:I73"/>
    <mergeCell ref="J72:J73"/>
    <mergeCell ref="A70:A71"/>
    <mergeCell ref="B70:B71"/>
    <mergeCell ref="C70:C71"/>
    <mergeCell ref="D70:D71"/>
    <mergeCell ref="E70:E71"/>
    <mergeCell ref="I70:I71"/>
    <mergeCell ref="J66:J67"/>
    <mergeCell ref="A68:A69"/>
    <mergeCell ref="B68:B69"/>
    <mergeCell ref="C68:C69"/>
    <mergeCell ref="D68:D69"/>
    <mergeCell ref="E68:E69"/>
    <mergeCell ref="I68:I69"/>
    <mergeCell ref="J68:J69"/>
    <mergeCell ref="A66:A67"/>
    <mergeCell ref="B66:B67"/>
    <mergeCell ref="C66:C67"/>
    <mergeCell ref="D66:D67"/>
    <mergeCell ref="E66:E67"/>
    <mergeCell ref="I66:I67"/>
    <mergeCell ref="J62:J63"/>
    <mergeCell ref="A64:A65"/>
    <mergeCell ref="B64:B65"/>
    <mergeCell ref="C64:C65"/>
    <mergeCell ref="D64:D65"/>
    <mergeCell ref="E64:E65"/>
    <mergeCell ref="I64:I65"/>
    <mergeCell ref="J64:J65"/>
    <mergeCell ref="A62:A63"/>
    <mergeCell ref="B62:B63"/>
    <mergeCell ref="C62:C63"/>
    <mergeCell ref="D62:D63"/>
    <mergeCell ref="E62:E63"/>
    <mergeCell ref="I62:I63"/>
    <mergeCell ref="J58:J59"/>
    <mergeCell ref="A60:A61"/>
    <mergeCell ref="B60:B61"/>
    <mergeCell ref="C60:C61"/>
    <mergeCell ref="D60:D61"/>
    <mergeCell ref="E60:E61"/>
    <mergeCell ref="I60:I61"/>
    <mergeCell ref="J60:J61"/>
    <mergeCell ref="A58:A59"/>
    <mergeCell ref="B58:B59"/>
    <mergeCell ref="C58:C59"/>
    <mergeCell ref="D58:D59"/>
    <mergeCell ref="E58:E59"/>
    <mergeCell ref="I58:I59"/>
    <mergeCell ref="J54:J55"/>
    <mergeCell ref="A56:A57"/>
    <mergeCell ref="B56:B57"/>
    <mergeCell ref="C56:C57"/>
    <mergeCell ref="D56:D57"/>
    <mergeCell ref="E56:E57"/>
    <mergeCell ref="I56:I57"/>
    <mergeCell ref="J56:J57"/>
    <mergeCell ref="A54:A55"/>
    <mergeCell ref="B54:B55"/>
    <mergeCell ref="C54:C55"/>
    <mergeCell ref="D54:D55"/>
    <mergeCell ref="E54:E55"/>
    <mergeCell ref="I54:I55"/>
    <mergeCell ref="J50:J51"/>
    <mergeCell ref="A52:A53"/>
    <mergeCell ref="B52:B53"/>
    <mergeCell ref="C52:C53"/>
    <mergeCell ref="D52:D53"/>
    <mergeCell ref="E52:E53"/>
    <mergeCell ref="I52:I53"/>
    <mergeCell ref="J52:J53"/>
    <mergeCell ref="A50:A51"/>
    <mergeCell ref="B50:B51"/>
    <mergeCell ref="C50:C51"/>
    <mergeCell ref="D50:D51"/>
    <mergeCell ref="E50:E51"/>
    <mergeCell ref="I50:I51"/>
    <mergeCell ref="A48:A49"/>
    <mergeCell ref="B48:B49"/>
    <mergeCell ref="C48:C49"/>
    <mergeCell ref="D48:D49"/>
    <mergeCell ref="E48:E49"/>
    <mergeCell ref="I48:I49"/>
    <mergeCell ref="J48:J49"/>
    <mergeCell ref="A44:A45"/>
    <mergeCell ref="B44:B45"/>
    <mergeCell ref="C44:C45"/>
    <mergeCell ref="I44:I45"/>
    <mergeCell ref="J44:J45"/>
    <mergeCell ref="A46:A47"/>
    <mergeCell ref="B46:B47"/>
    <mergeCell ref="C46:C47"/>
    <mergeCell ref="I46:I47"/>
    <mergeCell ref="J46:J47"/>
    <mergeCell ref="A40:A41"/>
    <mergeCell ref="B40:B41"/>
    <mergeCell ref="C40:C41"/>
    <mergeCell ref="I40:I41"/>
    <mergeCell ref="J40:J41"/>
    <mergeCell ref="A42:A43"/>
    <mergeCell ref="B42:B43"/>
    <mergeCell ref="C42:C43"/>
    <mergeCell ref="I42:I43"/>
    <mergeCell ref="J42:J43"/>
    <mergeCell ref="A36:A37"/>
    <mergeCell ref="B36:B37"/>
    <mergeCell ref="C36:C37"/>
    <mergeCell ref="I36:I37"/>
    <mergeCell ref="J36:J37"/>
    <mergeCell ref="A38:A39"/>
    <mergeCell ref="B38:B39"/>
    <mergeCell ref="C38:C39"/>
    <mergeCell ref="I38:I39"/>
    <mergeCell ref="J38:J39"/>
    <mergeCell ref="A32:A33"/>
    <mergeCell ref="B32:B33"/>
    <mergeCell ref="C32:C33"/>
    <mergeCell ref="I32:I33"/>
    <mergeCell ref="J32:J33"/>
    <mergeCell ref="A34:A35"/>
    <mergeCell ref="B34:B35"/>
    <mergeCell ref="C34:C35"/>
    <mergeCell ref="I34:I35"/>
    <mergeCell ref="J34:J35"/>
    <mergeCell ref="A28:A29"/>
    <mergeCell ref="B28:B29"/>
    <mergeCell ref="C28:C29"/>
    <mergeCell ref="I28:I29"/>
    <mergeCell ref="J28:J29"/>
    <mergeCell ref="A30:A31"/>
    <mergeCell ref="B30:B31"/>
    <mergeCell ref="C30:C31"/>
    <mergeCell ref="I30:I31"/>
    <mergeCell ref="J30:J31"/>
    <mergeCell ref="A24:A25"/>
    <mergeCell ref="B24:B25"/>
    <mergeCell ref="C24:C25"/>
    <mergeCell ref="I24:I25"/>
    <mergeCell ref="J24:J25"/>
    <mergeCell ref="A26:A27"/>
    <mergeCell ref="B26:B27"/>
    <mergeCell ref="C26:C27"/>
    <mergeCell ref="I26:I27"/>
    <mergeCell ref="J26:J27"/>
    <mergeCell ref="A20:A21"/>
    <mergeCell ref="B20:B21"/>
    <mergeCell ref="C20:C21"/>
    <mergeCell ref="I20:I21"/>
    <mergeCell ref="J20:J21"/>
    <mergeCell ref="A22:A23"/>
    <mergeCell ref="B22:B23"/>
    <mergeCell ref="C22:C23"/>
    <mergeCell ref="I22:I23"/>
    <mergeCell ref="J22:J23"/>
    <mergeCell ref="J16:J17"/>
    <mergeCell ref="A18:A19"/>
    <mergeCell ref="B18:B19"/>
    <mergeCell ref="C18:C19"/>
    <mergeCell ref="I18:I19"/>
    <mergeCell ref="J18:J19"/>
    <mergeCell ref="A14:A15"/>
    <mergeCell ref="B14:B15"/>
    <mergeCell ref="A16:A17"/>
    <mergeCell ref="B16:B17"/>
    <mergeCell ref="C16:C17"/>
    <mergeCell ref="I16:I17"/>
    <mergeCell ref="A8:A9"/>
    <mergeCell ref="B8:B9"/>
    <mergeCell ref="A10:A11"/>
    <mergeCell ref="B10:B11"/>
    <mergeCell ref="A12:A13"/>
    <mergeCell ref="B12:B13"/>
    <mergeCell ref="A1:B1"/>
    <mergeCell ref="A2:B2"/>
    <mergeCell ref="C1:J2"/>
    <mergeCell ref="A4:A5"/>
    <mergeCell ref="B4:B5"/>
    <mergeCell ref="A6:A7"/>
    <mergeCell ref="B6:B7"/>
  </mergeCells>
  <phoneticPr fontId="7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4F213-AD89-4875-9557-AB373806BC54}">
  <dimension ref="A1:J80"/>
  <sheetViews>
    <sheetView topLeftCell="A51" workbookViewId="0">
      <selection activeCell="N45" sqref="N45"/>
    </sheetView>
  </sheetViews>
  <sheetFormatPr defaultRowHeight="15" x14ac:dyDescent="0.3"/>
  <sheetData>
    <row r="1" spans="1:10" ht="16.2" thickTop="1" x14ac:dyDescent="0.3">
      <c r="A1" s="65" t="s">
        <v>0</v>
      </c>
      <c r="B1" s="66"/>
      <c r="C1" s="51" t="s">
        <v>38</v>
      </c>
      <c r="D1" s="52"/>
      <c r="E1" s="52"/>
      <c r="F1" s="52"/>
      <c r="G1" s="52"/>
      <c r="H1" s="52"/>
      <c r="I1" s="52"/>
      <c r="J1" s="53"/>
    </row>
    <row r="2" spans="1:10" ht="16.2" thickBot="1" x14ac:dyDescent="0.35">
      <c r="A2" s="61" t="s">
        <v>1</v>
      </c>
      <c r="B2" s="62"/>
      <c r="C2" s="54"/>
      <c r="D2" s="55"/>
      <c r="E2" s="55"/>
      <c r="F2" s="55"/>
      <c r="G2" s="55"/>
      <c r="H2" s="55"/>
      <c r="I2" s="55"/>
      <c r="J2" s="56"/>
    </row>
    <row r="3" spans="1:10" ht="16.2" thickBot="1" x14ac:dyDescent="0.35">
      <c r="A3" s="21" t="s">
        <v>3</v>
      </c>
      <c r="B3" s="20" t="s">
        <v>4</v>
      </c>
      <c r="C3" s="2">
        <v>3</v>
      </c>
      <c r="D3" s="2">
        <v>4</v>
      </c>
      <c r="E3" s="2">
        <v>5</v>
      </c>
      <c r="F3" s="2">
        <v>6</v>
      </c>
      <c r="G3" s="2">
        <v>7</v>
      </c>
      <c r="H3" s="2">
        <v>8</v>
      </c>
      <c r="I3" s="2">
        <v>9</v>
      </c>
      <c r="J3" s="3">
        <v>10</v>
      </c>
    </row>
    <row r="4" spans="1:10" ht="15.6" x14ac:dyDescent="0.3">
      <c r="A4" s="73" t="s">
        <v>5</v>
      </c>
      <c r="B4" s="49">
        <v>3</v>
      </c>
      <c r="C4" s="23">
        <v>16</v>
      </c>
      <c r="D4" s="23">
        <v>17</v>
      </c>
      <c r="E4" s="23">
        <v>18</v>
      </c>
      <c r="F4" s="23">
        <v>20</v>
      </c>
      <c r="G4" s="23">
        <v>24</v>
      </c>
      <c r="H4" s="23">
        <v>28</v>
      </c>
      <c r="I4" s="23">
        <v>39</v>
      </c>
      <c r="J4" s="24">
        <v>54</v>
      </c>
    </row>
    <row r="5" spans="1:10" ht="16.2" thickBot="1" x14ac:dyDescent="0.35">
      <c r="A5" s="74"/>
      <c r="B5" s="50"/>
      <c r="C5" s="1">
        <v>14</v>
      </c>
      <c r="D5" s="1">
        <v>14</v>
      </c>
      <c r="E5" s="1">
        <v>14</v>
      </c>
      <c r="F5" s="1">
        <v>14</v>
      </c>
      <c r="G5" s="1">
        <v>14</v>
      </c>
      <c r="H5" s="1">
        <v>14</v>
      </c>
      <c r="I5" s="1">
        <v>14</v>
      </c>
      <c r="J5" s="19">
        <v>14</v>
      </c>
    </row>
    <row r="6" spans="1:10" ht="15.6" x14ac:dyDescent="0.3">
      <c r="A6" s="47">
        <v>3</v>
      </c>
      <c r="B6" s="49">
        <v>6</v>
      </c>
      <c r="C6" s="23">
        <v>21.5</v>
      </c>
      <c r="D6" s="23">
        <v>23</v>
      </c>
      <c r="E6" s="23">
        <v>24</v>
      </c>
      <c r="F6" s="23">
        <v>27</v>
      </c>
      <c r="G6" s="23">
        <v>31</v>
      </c>
      <c r="H6" s="23">
        <v>37</v>
      </c>
      <c r="I6" s="23">
        <v>49</v>
      </c>
      <c r="J6" s="24">
        <v>67</v>
      </c>
    </row>
    <row r="7" spans="1:10" ht="16.2" thickBot="1" x14ac:dyDescent="0.35">
      <c r="A7" s="48"/>
      <c r="B7" s="50"/>
      <c r="C7" s="1">
        <v>19</v>
      </c>
      <c r="D7" s="1">
        <v>19</v>
      </c>
      <c r="E7" s="1">
        <v>19</v>
      </c>
      <c r="F7" s="1">
        <v>19</v>
      </c>
      <c r="G7" s="1">
        <v>19</v>
      </c>
      <c r="H7" s="1">
        <v>19</v>
      </c>
      <c r="I7" s="1">
        <v>19</v>
      </c>
      <c r="J7" s="19">
        <v>19</v>
      </c>
    </row>
    <row r="8" spans="1:10" ht="15.6" x14ac:dyDescent="0.3">
      <c r="A8" s="47">
        <v>6</v>
      </c>
      <c r="B8" s="49">
        <v>10</v>
      </c>
      <c r="C8" s="23">
        <v>25.5</v>
      </c>
      <c r="D8" s="23">
        <v>27</v>
      </c>
      <c r="E8" s="23">
        <v>29</v>
      </c>
      <c r="F8" s="23">
        <v>32</v>
      </c>
      <c r="G8" s="23">
        <v>38</v>
      </c>
      <c r="H8" s="23">
        <v>45</v>
      </c>
      <c r="I8" s="23">
        <v>59</v>
      </c>
      <c r="J8" s="24">
        <v>81</v>
      </c>
    </row>
    <row r="9" spans="1:10" ht="16.2" thickBot="1" x14ac:dyDescent="0.35">
      <c r="A9" s="48"/>
      <c r="B9" s="50"/>
      <c r="C9" s="1">
        <v>23</v>
      </c>
      <c r="D9" s="1">
        <v>23</v>
      </c>
      <c r="E9" s="1">
        <v>23</v>
      </c>
      <c r="F9" s="1">
        <v>23</v>
      </c>
      <c r="G9" s="1">
        <v>23</v>
      </c>
      <c r="H9" s="1">
        <v>23</v>
      </c>
      <c r="I9" s="1">
        <v>23</v>
      </c>
      <c r="J9" s="19">
        <v>23</v>
      </c>
    </row>
    <row r="10" spans="1:10" ht="15.6" x14ac:dyDescent="0.3">
      <c r="A10" s="47">
        <v>10</v>
      </c>
      <c r="B10" s="49">
        <v>18</v>
      </c>
      <c r="C10" s="23">
        <v>31</v>
      </c>
      <c r="D10" s="23">
        <v>33</v>
      </c>
      <c r="E10" s="23">
        <v>36</v>
      </c>
      <c r="F10" s="23">
        <v>39</v>
      </c>
      <c r="G10" s="23">
        <v>46</v>
      </c>
      <c r="H10" s="23">
        <v>55</v>
      </c>
      <c r="I10" s="23">
        <v>71</v>
      </c>
      <c r="J10" s="24">
        <v>98</v>
      </c>
    </row>
    <row r="11" spans="1:10" ht="16.2" thickBot="1" x14ac:dyDescent="0.35">
      <c r="A11" s="48"/>
      <c r="B11" s="50"/>
      <c r="C11" s="1">
        <v>28</v>
      </c>
      <c r="D11" s="1">
        <v>28</v>
      </c>
      <c r="E11" s="1">
        <v>28</v>
      </c>
      <c r="F11" s="1">
        <v>28</v>
      </c>
      <c r="G11" s="1">
        <v>28</v>
      </c>
      <c r="H11" s="1">
        <v>28</v>
      </c>
      <c r="I11" s="1">
        <v>28</v>
      </c>
      <c r="J11" s="19">
        <v>28</v>
      </c>
    </row>
    <row r="12" spans="1:10" ht="15.6" x14ac:dyDescent="0.3">
      <c r="A12" s="47">
        <v>18</v>
      </c>
      <c r="B12" s="49">
        <v>30</v>
      </c>
      <c r="C12" s="23">
        <v>39</v>
      </c>
      <c r="D12" s="23">
        <v>41</v>
      </c>
      <c r="E12" s="23">
        <v>44</v>
      </c>
      <c r="F12" s="23">
        <v>48</v>
      </c>
      <c r="G12" s="23">
        <v>56</v>
      </c>
      <c r="H12" s="23">
        <v>68</v>
      </c>
      <c r="I12" s="23">
        <v>87</v>
      </c>
      <c r="J12" s="24">
        <v>119</v>
      </c>
    </row>
    <row r="13" spans="1:10" ht="16.2" thickBot="1" x14ac:dyDescent="0.35">
      <c r="A13" s="48"/>
      <c r="B13" s="50"/>
      <c r="C13" s="1">
        <v>35</v>
      </c>
      <c r="D13" s="1">
        <v>35</v>
      </c>
      <c r="E13" s="1">
        <v>35</v>
      </c>
      <c r="F13" s="1">
        <v>35</v>
      </c>
      <c r="G13" s="1">
        <v>35</v>
      </c>
      <c r="H13" s="1">
        <v>35</v>
      </c>
      <c r="I13" s="1">
        <v>35</v>
      </c>
      <c r="J13" s="19">
        <v>35</v>
      </c>
    </row>
    <row r="14" spans="1:10" ht="15.6" x14ac:dyDescent="0.3">
      <c r="A14" s="47">
        <v>30</v>
      </c>
      <c r="B14" s="49">
        <v>50</v>
      </c>
      <c r="C14" s="23">
        <v>47</v>
      </c>
      <c r="D14" s="23">
        <v>50</v>
      </c>
      <c r="E14" s="23">
        <v>54</v>
      </c>
      <c r="F14" s="23">
        <v>59</v>
      </c>
      <c r="G14" s="23">
        <v>68</v>
      </c>
      <c r="H14" s="23">
        <v>82</v>
      </c>
      <c r="I14" s="23">
        <v>105</v>
      </c>
      <c r="J14" s="24">
        <v>143</v>
      </c>
    </row>
    <row r="15" spans="1:10" ht="16.2" thickBot="1" x14ac:dyDescent="0.35">
      <c r="A15" s="48"/>
      <c r="B15" s="50"/>
      <c r="C15" s="1">
        <v>43</v>
      </c>
      <c r="D15" s="1">
        <v>43</v>
      </c>
      <c r="E15" s="1">
        <v>43</v>
      </c>
      <c r="F15" s="1">
        <v>43</v>
      </c>
      <c r="G15" s="1">
        <v>43</v>
      </c>
      <c r="H15" s="1">
        <v>43</v>
      </c>
      <c r="I15" s="1">
        <v>43</v>
      </c>
      <c r="J15" s="19">
        <v>43</v>
      </c>
    </row>
    <row r="16" spans="1:10" ht="15.6" x14ac:dyDescent="0.3">
      <c r="A16" s="47">
        <v>50</v>
      </c>
      <c r="B16" s="49">
        <v>65</v>
      </c>
      <c r="C16" s="75"/>
      <c r="D16" s="23">
        <v>61</v>
      </c>
      <c r="E16" s="23">
        <v>66</v>
      </c>
      <c r="F16" s="23">
        <v>72</v>
      </c>
      <c r="G16" s="23">
        <v>83</v>
      </c>
      <c r="H16" s="23">
        <v>99</v>
      </c>
      <c r="I16" s="23">
        <v>127</v>
      </c>
      <c r="J16" s="77"/>
    </row>
    <row r="17" spans="1:10" ht="16.2" thickBot="1" x14ac:dyDescent="0.35">
      <c r="A17" s="48"/>
      <c r="B17" s="50"/>
      <c r="C17" s="76"/>
      <c r="D17" s="1">
        <v>53</v>
      </c>
      <c r="E17" s="1">
        <v>53</v>
      </c>
      <c r="F17" s="1">
        <v>53</v>
      </c>
      <c r="G17" s="1">
        <v>53</v>
      </c>
      <c r="H17" s="1">
        <v>53</v>
      </c>
      <c r="I17" s="1">
        <v>53</v>
      </c>
      <c r="J17" s="78"/>
    </row>
    <row r="18" spans="1:10" ht="15.6" x14ac:dyDescent="0.3">
      <c r="A18" s="47">
        <v>65</v>
      </c>
      <c r="B18" s="49">
        <v>80</v>
      </c>
      <c r="C18" s="75"/>
      <c r="D18" s="23">
        <v>67</v>
      </c>
      <c r="E18" s="23">
        <v>72</v>
      </c>
      <c r="F18" s="23">
        <v>78</v>
      </c>
      <c r="G18" s="23">
        <v>89</v>
      </c>
      <c r="H18" s="23">
        <v>105</v>
      </c>
      <c r="I18" s="23">
        <v>133</v>
      </c>
      <c r="J18" s="77"/>
    </row>
    <row r="19" spans="1:10" ht="16.2" thickBot="1" x14ac:dyDescent="0.35">
      <c r="A19" s="48"/>
      <c r="B19" s="50"/>
      <c r="C19" s="76"/>
      <c r="D19" s="1">
        <v>59</v>
      </c>
      <c r="E19" s="1">
        <v>59</v>
      </c>
      <c r="F19" s="1">
        <v>59</v>
      </c>
      <c r="G19" s="1">
        <v>59</v>
      </c>
      <c r="H19" s="1">
        <v>59</v>
      </c>
      <c r="I19" s="1">
        <v>59</v>
      </c>
      <c r="J19" s="78"/>
    </row>
    <row r="20" spans="1:10" ht="15.6" x14ac:dyDescent="0.3">
      <c r="A20" s="47">
        <v>80</v>
      </c>
      <c r="B20" s="49">
        <v>100</v>
      </c>
      <c r="C20" s="75"/>
      <c r="D20" s="23">
        <v>81</v>
      </c>
      <c r="E20" s="23">
        <v>86</v>
      </c>
      <c r="F20" s="23">
        <v>93</v>
      </c>
      <c r="G20" s="23">
        <v>106</v>
      </c>
      <c r="H20" s="23">
        <v>125</v>
      </c>
      <c r="I20" s="23">
        <v>158</v>
      </c>
      <c r="J20" s="77"/>
    </row>
    <row r="21" spans="1:10" ht="16.2" thickBot="1" x14ac:dyDescent="0.35">
      <c r="A21" s="48"/>
      <c r="B21" s="50"/>
      <c r="C21" s="76"/>
      <c r="D21" s="1">
        <v>71</v>
      </c>
      <c r="E21" s="1">
        <v>71</v>
      </c>
      <c r="F21" s="1">
        <v>71</v>
      </c>
      <c r="G21" s="1">
        <v>71</v>
      </c>
      <c r="H21" s="1">
        <v>71</v>
      </c>
      <c r="I21" s="1">
        <v>71</v>
      </c>
      <c r="J21" s="78"/>
    </row>
    <row r="22" spans="1:10" ht="15.6" x14ac:dyDescent="0.3">
      <c r="A22" s="47">
        <v>100</v>
      </c>
      <c r="B22" s="49">
        <v>120</v>
      </c>
      <c r="C22" s="75"/>
      <c r="D22" s="23">
        <v>89</v>
      </c>
      <c r="E22" s="23">
        <v>94</v>
      </c>
      <c r="F22" s="23">
        <v>101</v>
      </c>
      <c r="G22" s="23">
        <v>114</v>
      </c>
      <c r="H22" s="23">
        <v>133</v>
      </c>
      <c r="I22" s="23">
        <v>166</v>
      </c>
      <c r="J22" s="77"/>
    </row>
    <row r="23" spans="1:10" ht="16.2" thickBot="1" x14ac:dyDescent="0.35">
      <c r="A23" s="48"/>
      <c r="B23" s="50"/>
      <c r="C23" s="76"/>
      <c r="D23" s="1">
        <v>79</v>
      </c>
      <c r="E23" s="1">
        <v>79</v>
      </c>
      <c r="F23" s="1">
        <v>79</v>
      </c>
      <c r="G23" s="1">
        <v>79</v>
      </c>
      <c r="H23" s="1">
        <v>79</v>
      </c>
      <c r="I23" s="1">
        <v>79</v>
      </c>
      <c r="J23" s="78"/>
    </row>
    <row r="24" spans="1:10" ht="15.6" x14ac:dyDescent="0.3">
      <c r="A24" s="47">
        <v>120</v>
      </c>
      <c r="B24" s="49">
        <v>140</v>
      </c>
      <c r="C24" s="75"/>
      <c r="D24" s="23">
        <v>104</v>
      </c>
      <c r="E24" s="23">
        <v>110</v>
      </c>
      <c r="F24" s="23">
        <v>117</v>
      </c>
      <c r="G24" s="23">
        <v>132</v>
      </c>
      <c r="H24" s="23">
        <v>155</v>
      </c>
      <c r="I24" s="23">
        <v>192</v>
      </c>
      <c r="J24" s="77"/>
    </row>
    <row r="25" spans="1:10" ht="16.2" thickBot="1" x14ac:dyDescent="0.35">
      <c r="A25" s="48"/>
      <c r="B25" s="50"/>
      <c r="C25" s="76"/>
      <c r="D25" s="1">
        <v>92</v>
      </c>
      <c r="E25" s="1">
        <v>92</v>
      </c>
      <c r="F25" s="1">
        <v>92</v>
      </c>
      <c r="G25" s="1">
        <v>92</v>
      </c>
      <c r="H25" s="1">
        <v>92</v>
      </c>
      <c r="I25" s="1">
        <v>92</v>
      </c>
      <c r="J25" s="78"/>
    </row>
    <row r="26" spans="1:10" ht="15.6" x14ac:dyDescent="0.3">
      <c r="A26" s="47">
        <v>140</v>
      </c>
      <c r="B26" s="49">
        <v>160</v>
      </c>
      <c r="C26" s="75"/>
      <c r="D26" s="23">
        <v>112</v>
      </c>
      <c r="E26" s="23">
        <v>118</v>
      </c>
      <c r="F26" s="23">
        <v>125</v>
      </c>
      <c r="G26" s="23">
        <v>140</v>
      </c>
      <c r="H26" s="23">
        <v>163</v>
      </c>
      <c r="I26" s="23">
        <v>200</v>
      </c>
      <c r="J26" s="77"/>
    </row>
    <row r="27" spans="1:10" ht="16.2" thickBot="1" x14ac:dyDescent="0.35">
      <c r="A27" s="48"/>
      <c r="B27" s="50"/>
      <c r="C27" s="76"/>
      <c r="D27" s="1">
        <v>100</v>
      </c>
      <c r="E27" s="1">
        <v>100</v>
      </c>
      <c r="F27" s="1">
        <v>100</v>
      </c>
      <c r="G27" s="1">
        <v>100</v>
      </c>
      <c r="H27" s="1">
        <v>100</v>
      </c>
      <c r="I27" s="1">
        <v>100</v>
      </c>
      <c r="J27" s="78"/>
    </row>
    <row r="28" spans="1:10" ht="15.6" x14ac:dyDescent="0.3">
      <c r="A28" s="47">
        <v>160</v>
      </c>
      <c r="B28" s="49">
        <v>180</v>
      </c>
      <c r="C28" s="75"/>
      <c r="D28" s="23">
        <v>120</v>
      </c>
      <c r="E28" s="23">
        <v>126</v>
      </c>
      <c r="F28" s="23">
        <v>133</v>
      </c>
      <c r="G28" s="23">
        <v>148</v>
      </c>
      <c r="H28" s="23">
        <v>171</v>
      </c>
      <c r="I28" s="23">
        <v>208</v>
      </c>
      <c r="J28" s="77"/>
    </row>
    <row r="29" spans="1:10" ht="16.2" thickBot="1" x14ac:dyDescent="0.35">
      <c r="A29" s="48"/>
      <c r="B29" s="50"/>
      <c r="C29" s="76"/>
      <c r="D29" s="1">
        <v>108</v>
      </c>
      <c r="E29" s="1">
        <v>108</v>
      </c>
      <c r="F29" s="1">
        <v>108</v>
      </c>
      <c r="G29" s="1">
        <v>108</v>
      </c>
      <c r="H29" s="1">
        <v>108</v>
      </c>
      <c r="I29" s="1">
        <v>108</v>
      </c>
      <c r="J29" s="78"/>
    </row>
    <row r="30" spans="1:10" ht="15.6" x14ac:dyDescent="0.3">
      <c r="A30" s="47">
        <v>180</v>
      </c>
      <c r="B30" s="49">
        <v>200</v>
      </c>
      <c r="C30" s="75"/>
      <c r="D30" s="23">
        <v>136</v>
      </c>
      <c r="E30" s="23">
        <v>142</v>
      </c>
      <c r="F30" s="23">
        <v>151</v>
      </c>
      <c r="G30" s="23">
        <v>168</v>
      </c>
      <c r="H30" s="23">
        <v>194</v>
      </c>
      <c r="I30" s="23">
        <v>237</v>
      </c>
      <c r="J30" s="77"/>
    </row>
    <row r="31" spans="1:10" ht="16.2" thickBot="1" x14ac:dyDescent="0.35">
      <c r="A31" s="48"/>
      <c r="B31" s="50"/>
      <c r="C31" s="76"/>
      <c r="D31" s="1">
        <v>122</v>
      </c>
      <c r="E31" s="1">
        <v>122</v>
      </c>
      <c r="F31" s="1">
        <v>122</v>
      </c>
      <c r="G31" s="1">
        <v>122</v>
      </c>
      <c r="H31" s="1">
        <v>122</v>
      </c>
      <c r="I31" s="1">
        <v>122</v>
      </c>
      <c r="J31" s="78"/>
    </row>
    <row r="32" spans="1:10" ht="15.6" x14ac:dyDescent="0.3">
      <c r="A32" s="47">
        <v>200</v>
      </c>
      <c r="B32" s="49">
        <v>225</v>
      </c>
      <c r="C32" s="75"/>
      <c r="D32" s="23">
        <v>144</v>
      </c>
      <c r="E32" s="23">
        <v>150</v>
      </c>
      <c r="F32" s="23">
        <v>159</v>
      </c>
      <c r="G32" s="23">
        <v>176</v>
      </c>
      <c r="H32" s="23">
        <v>202</v>
      </c>
      <c r="I32" s="23">
        <v>245</v>
      </c>
      <c r="J32" s="77"/>
    </row>
    <row r="33" spans="1:10" ht="16.2" thickBot="1" x14ac:dyDescent="0.35">
      <c r="A33" s="48"/>
      <c r="B33" s="50"/>
      <c r="C33" s="76"/>
      <c r="D33" s="1">
        <v>130</v>
      </c>
      <c r="E33" s="1">
        <v>130</v>
      </c>
      <c r="F33" s="1">
        <v>130</v>
      </c>
      <c r="G33" s="1">
        <v>130</v>
      </c>
      <c r="H33" s="1">
        <v>130</v>
      </c>
      <c r="I33" s="1">
        <v>130</v>
      </c>
      <c r="J33" s="78"/>
    </row>
    <row r="34" spans="1:10" ht="15.6" x14ac:dyDescent="0.3">
      <c r="A34" s="47">
        <v>225</v>
      </c>
      <c r="B34" s="49">
        <v>250</v>
      </c>
      <c r="C34" s="75"/>
      <c r="D34" s="23">
        <v>154</v>
      </c>
      <c r="E34" s="23">
        <v>160</v>
      </c>
      <c r="F34" s="23">
        <v>169</v>
      </c>
      <c r="G34" s="23">
        <v>186</v>
      </c>
      <c r="H34" s="23">
        <v>212</v>
      </c>
      <c r="I34" s="23">
        <v>255</v>
      </c>
      <c r="J34" s="77"/>
    </row>
    <row r="35" spans="1:10" ht="16.2" thickBot="1" x14ac:dyDescent="0.35">
      <c r="A35" s="48"/>
      <c r="B35" s="50"/>
      <c r="C35" s="76"/>
      <c r="D35" s="1">
        <v>140</v>
      </c>
      <c r="E35" s="1">
        <v>140</v>
      </c>
      <c r="F35" s="1">
        <v>140</v>
      </c>
      <c r="G35" s="1">
        <v>140</v>
      </c>
      <c r="H35" s="1">
        <v>140</v>
      </c>
      <c r="I35" s="1">
        <v>140</v>
      </c>
      <c r="J35" s="78"/>
    </row>
    <row r="36" spans="1:10" ht="15.6" x14ac:dyDescent="0.3">
      <c r="A36" s="47">
        <v>250</v>
      </c>
      <c r="B36" s="49">
        <v>280</v>
      </c>
      <c r="C36" s="75"/>
      <c r="D36" s="23">
        <v>174</v>
      </c>
      <c r="E36" s="23">
        <v>181</v>
      </c>
      <c r="F36" s="23">
        <v>190</v>
      </c>
      <c r="G36" s="23">
        <v>210</v>
      </c>
      <c r="H36" s="23">
        <v>239</v>
      </c>
      <c r="I36" s="23">
        <v>288</v>
      </c>
      <c r="J36" s="77"/>
    </row>
    <row r="37" spans="1:10" ht="16.2" thickBot="1" x14ac:dyDescent="0.35">
      <c r="A37" s="48"/>
      <c r="B37" s="50"/>
      <c r="C37" s="76"/>
      <c r="D37" s="1">
        <v>158</v>
      </c>
      <c r="E37" s="1">
        <v>158</v>
      </c>
      <c r="F37" s="1">
        <v>158</v>
      </c>
      <c r="G37" s="1">
        <v>158</v>
      </c>
      <c r="H37" s="1">
        <v>158</v>
      </c>
      <c r="I37" s="1">
        <v>158</v>
      </c>
      <c r="J37" s="78"/>
    </row>
    <row r="38" spans="1:10" ht="15.6" x14ac:dyDescent="0.3">
      <c r="A38" s="47">
        <v>280</v>
      </c>
      <c r="B38" s="49">
        <v>315</v>
      </c>
      <c r="C38" s="75"/>
      <c r="D38" s="23">
        <v>186</v>
      </c>
      <c r="E38" s="23">
        <v>193</v>
      </c>
      <c r="F38" s="23">
        <v>202</v>
      </c>
      <c r="G38" s="23">
        <v>222</v>
      </c>
      <c r="H38" s="23">
        <v>251</v>
      </c>
      <c r="I38" s="23">
        <v>300</v>
      </c>
      <c r="J38" s="77"/>
    </row>
    <row r="39" spans="1:10" ht="16.2" thickBot="1" x14ac:dyDescent="0.35">
      <c r="A39" s="48"/>
      <c r="B39" s="50"/>
      <c r="C39" s="76"/>
      <c r="D39" s="1">
        <v>170</v>
      </c>
      <c r="E39" s="1">
        <v>170</v>
      </c>
      <c r="F39" s="1">
        <v>170</v>
      </c>
      <c r="G39" s="1">
        <v>170</v>
      </c>
      <c r="H39" s="1">
        <v>170</v>
      </c>
      <c r="I39" s="1">
        <v>170</v>
      </c>
      <c r="J39" s="78"/>
    </row>
    <row r="40" spans="1:10" ht="15.6" x14ac:dyDescent="0.3">
      <c r="A40" s="47">
        <v>315</v>
      </c>
      <c r="B40" s="49">
        <v>355</v>
      </c>
      <c r="C40" s="75"/>
      <c r="D40" s="23">
        <v>208</v>
      </c>
      <c r="E40" s="23">
        <v>215</v>
      </c>
      <c r="F40" s="23">
        <v>226</v>
      </c>
      <c r="G40" s="23">
        <v>247</v>
      </c>
      <c r="H40" s="23">
        <v>279</v>
      </c>
      <c r="I40" s="23">
        <v>330</v>
      </c>
      <c r="J40" s="77"/>
    </row>
    <row r="41" spans="1:10" ht="16.2" thickBot="1" x14ac:dyDescent="0.35">
      <c r="A41" s="48"/>
      <c r="B41" s="50"/>
      <c r="C41" s="76"/>
      <c r="D41" s="1">
        <v>190</v>
      </c>
      <c r="E41" s="1">
        <v>190</v>
      </c>
      <c r="F41" s="1">
        <v>190</v>
      </c>
      <c r="G41" s="1">
        <v>190</v>
      </c>
      <c r="H41" s="1">
        <v>190</v>
      </c>
      <c r="I41" s="1">
        <v>190</v>
      </c>
      <c r="J41" s="78"/>
    </row>
    <row r="42" spans="1:10" ht="15.6" x14ac:dyDescent="0.3">
      <c r="A42" s="47">
        <v>355</v>
      </c>
      <c r="B42" s="49">
        <v>400</v>
      </c>
      <c r="C42" s="75"/>
      <c r="D42" s="23">
        <v>226</v>
      </c>
      <c r="E42" s="23">
        <v>233</v>
      </c>
      <c r="F42" s="23">
        <v>244</v>
      </c>
      <c r="G42" s="23">
        <v>265</v>
      </c>
      <c r="H42" s="23">
        <v>297</v>
      </c>
      <c r="I42" s="23">
        <v>348</v>
      </c>
      <c r="J42" s="77"/>
    </row>
    <row r="43" spans="1:10" ht="16.2" thickBot="1" x14ac:dyDescent="0.35">
      <c r="A43" s="48"/>
      <c r="B43" s="50"/>
      <c r="C43" s="76"/>
      <c r="D43" s="1">
        <v>208</v>
      </c>
      <c r="E43" s="1">
        <v>208</v>
      </c>
      <c r="F43" s="1">
        <v>208</v>
      </c>
      <c r="G43" s="1">
        <v>208</v>
      </c>
      <c r="H43" s="1">
        <v>208</v>
      </c>
      <c r="I43" s="1">
        <v>208</v>
      </c>
      <c r="J43" s="78"/>
    </row>
    <row r="44" spans="1:10" ht="15.6" x14ac:dyDescent="0.3">
      <c r="A44" s="47">
        <v>400</v>
      </c>
      <c r="B44" s="49">
        <v>450</v>
      </c>
      <c r="C44" s="75"/>
      <c r="D44" s="23">
        <v>252</v>
      </c>
      <c r="E44" s="23">
        <v>259</v>
      </c>
      <c r="F44" s="23">
        <v>272</v>
      </c>
      <c r="G44" s="23">
        <v>295</v>
      </c>
      <c r="H44" s="23">
        <v>329</v>
      </c>
      <c r="I44" s="23">
        <v>387</v>
      </c>
      <c r="J44" s="77"/>
    </row>
    <row r="45" spans="1:10" ht="16.2" thickBot="1" x14ac:dyDescent="0.35">
      <c r="A45" s="48"/>
      <c r="B45" s="50"/>
      <c r="C45" s="76"/>
      <c r="D45" s="1">
        <v>232</v>
      </c>
      <c r="E45" s="1">
        <v>232</v>
      </c>
      <c r="F45" s="1">
        <v>232</v>
      </c>
      <c r="G45" s="1">
        <v>232</v>
      </c>
      <c r="H45" s="1">
        <v>232</v>
      </c>
      <c r="I45" s="1">
        <v>232</v>
      </c>
      <c r="J45" s="78"/>
    </row>
    <row r="46" spans="1:10" ht="15.6" x14ac:dyDescent="0.3">
      <c r="A46" s="47">
        <v>450</v>
      </c>
      <c r="B46" s="49">
        <v>500</v>
      </c>
      <c r="C46" s="75"/>
      <c r="D46" s="23">
        <v>272</v>
      </c>
      <c r="E46" s="23">
        <v>279</v>
      </c>
      <c r="F46" s="23">
        <v>292</v>
      </c>
      <c r="G46" s="23">
        <v>315</v>
      </c>
      <c r="H46" s="23">
        <v>349</v>
      </c>
      <c r="I46" s="23">
        <v>407</v>
      </c>
      <c r="J46" s="77"/>
    </row>
    <row r="47" spans="1:10" ht="16.2" thickBot="1" x14ac:dyDescent="0.35">
      <c r="A47" s="120"/>
      <c r="B47" s="121"/>
      <c r="C47" s="122"/>
      <c r="D47" s="35">
        <v>252</v>
      </c>
      <c r="E47" s="35">
        <v>252</v>
      </c>
      <c r="F47" s="35">
        <v>252</v>
      </c>
      <c r="G47" s="35">
        <v>252</v>
      </c>
      <c r="H47" s="35">
        <v>252</v>
      </c>
      <c r="I47" s="35">
        <v>252</v>
      </c>
      <c r="J47" s="123"/>
    </row>
    <row r="48" spans="1:10" ht="16.2" thickTop="1" x14ac:dyDescent="0.3">
      <c r="A48" s="47">
        <v>500</v>
      </c>
      <c r="B48" s="49">
        <v>560</v>
      </c>
      <c r="C48" s="75"/>
      <c r="D48" s="75"/>
      <c r="E48" s="75"/>
      <c r="F48" s="23">
        <v>324</v>
      </c>
      <c r="G48" s="23">
        <v>350</v>
      </c>
      <c r="H48" s="23">
        <v>390</v>
      </c>
      <c r="I48" s="75"/>
      <c r="J48" s="77"/>
    </row>
    <row r="49" spans="1:10" ht="16.2" thickBot="1" x14ac:dyDescent="0.35">
      <c r="A49" s="48"/>
      <c r="B49" s="50"/>
      <c r="C49" s="76"/>
      <c r="D49" s="76"/>
      <c r="E49" s="76"/>
      <c r="F49" s="1">
        <v>280</v>
      </c>
      <c r="G49" s="1">
        <v>280</v>
      </c>
      <c r="H49" s="1">
        <v>280</v>
      </c>
      <c r="I49" s="76"/>
      <c r="J49" s="78"/>
    </row>
    <row r="50" spans="1:10" ht="15.6" x14ac:dyDescent="0.3">
      <c r="A50" s="47">
        <v>560</v>
      </c>
      <c r="B50" s="49">
        <v>630</v>
      </c>
      <c r="C50" s="75"/>
      <c r="D50" s="75"/>
      <c r="E50" s="75"/>
      <c r="F50" s="23">
        <v>354</v>
      </c>
      <c r="G50" s="23">
        <v>380</v>
      </c>
      <c r="H50" s="23">
        <v>420</v>
      </c>
      <c r="I50" s="75"/>
      <c r="J50" s="77"/>
    </row>
    <row r="51" spans="1:10" ht="16.2" thickBot="1" x14ac:dyDescent="0.35">
      <c r="A51" s="48"/>
      <c r="B51" s="50"/>
      <c r="C51" s="76"/>
      <c r="D51" s="76"/>
      <c r="E51" s="76"/>
      <c r="F51" s="1">
        <v>310</v>
      </c>
      <c r="G51" s="1">
        <v>310</v>
      </c>
      <c r="H51" s="1">
        <v>310</v>
      </c>
      <c r="I51" s="76"/>
      <c r="J51" s="78"/>
    </row>
    <row r="52" spans="1:10" ht="15.6" x14ac:dyDescent="0.3">
      <c r="A52" s="47">
        <v>630</v>
      </c>
      <c r="B52" s="49">
        <v>710</v>
      </c>
      <c r="C52" s="75"/>
      <c r="D52" s="75"/>
      <c r="E52" s="75"/>
      <c r="F52" s="23">
        <v>390</v>
      </c>
      <c r="G52" s="23">
        <v>420</v>
      </c>
      <c r="H52" s="23">
        <v>465</v>
      </c>
      <c r="I52" s="75"/>
      <c r="J52" s="77"/>
    </row>
    <row r="53" spans="1:10" ht="16.2" thickBot="1" x14ac:dyDescent="0.35">
      <c r="A53" s="48"/>
      <c r="B53" s="50"/>
      <c r="C53" s="76"/>
      <c r="D53" s="76"/>
      <c r="E53" s="76"/>
      <c r="F53" s="1">
        <v>340</v>
      </c>
      <c r="G53" s="1">
        <v>340</v>
      </c>
      <c r="H53" s="1">
        <v>340</v>
      </c>
      <c r="I53" s="76"/>
      <c r="J53" s="78"/>
    </row>
    <row r="54" spans="1:10" ht="15.6" x14ac:dyDescent="0.3">
      <c r="A54" s="47">
        <v>710</v>
      </c>
      <c r="B54" s="49">
        <v>800</v>
      </c>
      <c r="C54" s="75"/>
      <c r="D54" s="75"/>
      <c r="E54" s="75"/>
      <c r="F54" s="23">
        <v>430</v>
      </c>
      <c r="G54" s="23">
        <v>460</v>
      </c>
      <c r="H54" s="23">
        <v>505</v>
      </c>
      <c r="I54" s="75"/>
      <c r="J54" s="77"/>
    </row>
    <row r="55" spans="1:10" ht="16.2" thickBot="1" x14ac:dyDescent="0.35">
      <c r="A55" s="48"/>
      <c r="B55" s="50"/>
      <c r="C55" s="76"/>
      <c r="D55" s="76"/>
      <c r="E55" s="76"/>
      <c r="F55" s="1">
        <v>380</v>
      </c>
      <c r="G55" s="1">
        <v>380</v>
      </c>
      <c r="H55" s="1">
        <v>380</v>
      </c>
      <c r="I55" s="76"/>
      <c r="J55" s="78"/>
    </row>
    <row r="56" spans="1:10" ht="15.6" x14ac:dyDescent="0.3">
      <c r="A56" s="47">
        <v>800</v>
      </c>
      <c r="B56" s="49">
        <v>900</v>
      </c>
      <c r="C56" s="75"/>
      <c r="D56" s="75"/>
      <c r="E56" s="75"/>
      <c r="F56" s="23">
        <v>486</v>
      </c>
      <c r="G56" s="23">
        <v>520</v>
      </c>
      <c r="H56" s="23">
        <v>570</v>
      </c>
      <c r="I56" s="75"/>
      <c r="J56" s="77"/>
    </row>
    <row r="57" spans="1:10" ht="16.2" thickBot="1" x14ac:dyDescent="0.35">
      <c r="A57" s="48"/>
      <c r="B57" s="50"/>
      <c r="C57" s="76"/>
      <c r="D57" s="76"/>
      <c r="E57" s="76"/>
      <c r="F57" s="1">
        <v>430</v>
      </c>
      <c r="G57" s="1">
        <v>430</v>
      </c>
      <c r="H57" s="1">
        <v>430</v>
      </c>
      <c r="I57" s="76"/>
      <c r="J57" s="78"/>
    </row>
    <row r="58" spans="1:10" ht="15.6" x14ac:dyDescent="0.3">
      <c r="A58" s="47">
        <v>900</v>
      </c>
      <c r="B58" s="79">
        <v>1000</v>
      </c>
      <c r="C58" s="75"/>
      <c r="D58" s="75"/>
      <c r="E58" s="75"/>
      <c r="F58" s="23">
        <v>526</v>
      </c>
      <c r="G58" s="23">
        <v>560</v>
      </c>
      <c r="H58" s="23">
        <v>610</v>
      </c>
      <c r="I58" s="75"/>
      <c r="J58" s="77"/>
    </row>
    <row r="59" spans="1:10" ht="16.2" thickBot="1" x14ac:dyDescent="0.35">
      <c r="A59" s="48"/>
      <c r="B59" s="80"/>
      <c r="C59" s="76"/>
      <c r="D59" s="76"/>
      <c r="E59" s="76"/>
      <c r="F59" s="1">
        <v>470</v>
      </c>
      <c r="G59" s="1">
        <v>470</v>
      </c>
      <c r="H59" s="1">
        <v>470</v>
      </c>
      <c r="I59" s="76"/>
      <c r="J59" s="78"/>
    </row>
    <row r="60" spans="1:10" ht="15.6" x14ac:dyDescent="0.3">
      <c r="A60" s="81">
        <v>1000</v>
      </c>
      <c r="B60" s="79">
        <v>1120</v>
      </c>
      <c r="C60" s="75"/>
      <c r="D60" s="75"/>
      <c r="E60" s="75"/>
      <c r="F60" s="23">
        <v>586</v>
      </c>
      <c r="G60" s="23">
        <v>625</v>
      </c>
      <c r="H60" s="23">
        <v>685</v>
      </c>
      <c r="I60" s="75"/>
      <c r="J60" s="77"/>
    </row>
    <row r="61" spans="1:10" ht="16.2" thickBot="1" x14ac:dyDescent="0.35">
      <c r="A61" s="82"/>
      <c r="B61" s="80"/>
      <c r="C61" s="76"/>
      <c r="D61" s="76"/>
      <c r="E61" s="76"/>
      <c r="F61" s="1">
        <v>520</v>
      </c>
      <c r="G61" s="1">
        <v>520</v>
      </c>
      <c r="H61" s="1">
        <v>520</v>
      </c>
      <c r="I61" s="76"/>
      <c r="J61" s="78"/>
    </row>
    <row r="62" spans="1:10" ht="15.6" x14ac:dyDescent="0.3">
      <c r="A62" s="81">
        <v>1120</v>
      </c>
      <c r="B62" s="79">
        <v>1250</v>
      </c>
      <c r="C62" s="75"/>
      <c r="D62" s="75"/>
      <c r="E62" s="75"/>
      <c r="F62" s="23">
        <v>646</v>
      </c>
      <c r="G62" s="23">
        <v>685</v>
      </c>
      <c r="H62" s="23">
        <v>745</v>
      </c>
      <c r="I62" s="75"/>
      <c r="J62" s="77"/>
    </row>
    <row r="63" spans="1:10" ht="16.2" thickBot="1" x14ac:dyDescent="0.35">
      <c r="A63" s="82"/>
      <c r="B63" s="80"/>
      <c r="C63" s="76"/>
      <c r="D63" s="76"/>
      <c r="E63" s="76"/>
      <c r="F63" s="1">
        <v>580</v>
      </c>
      <c r="G63" s="1">
        <v>580</v>
      </c>
      <c r="H63" s="1">
        <v>580</v>
      </c>
      <c r="I63" s="76"/>
      <c r="J63" s="78"/>
    </row>
    <row r="64" spans="1:10" ht="15.6" x14ac:dyDescent="0.3">
      <c r="A64" s="81">
        <v>1250</v>
      </c>
      <c r="B64" s="79">
        <v>1400</v>
      </c>
      <c r="C64" s="75"/>
      <c r="D64" s="75"/>
      <c r="E64" s="75"/>
      <c r="F64" s="23">
        <v>718</v>
      </c>
      <c r="G64" s="23">
        <v>765</v>
      </c>
      <c r="H64" s="23">
        <v>835</v>
      </c>
      <c r="I64" s="75"/>
      <c r="J64" s="77"/>
    </row>
    <row r="65" spans="1:10" ht="16.2" thickBot="1" x14ac:dyDescent="0.35">
      <c r="A65" s="82"/>
      <c r="B65" s="80"/>
      <c r="C65" s="76"/>
      <c r="D65" s="76"/>
      <c r="E65" s="76"/>
      <c r="F65" s="1">
        <v>640</v>
      </c>
      <c r="G65" s="1">
        <v>640</v>
      </c>
      <c r="H65" s="1">
        <v>640</v>
      </c>
      <c r="I65" s="76"/>
      <c r="J65" s="78"/>
    </row>
    <row r="66" spans="1:10" ht="15.6" x14ac:dyDescent="0.3">
      <c r="A66" s="81">
        <v>1400</v>
      </c>
      <c r="B66" s="79">
        <v>1600</v>
      </c>
      <c r="C66" s="75"/>
      <c r="D66" s="75"/>
      <c r="E66" s="75"/>
      <c r="F66" s="23">
        <v>798</v>
      </c>
      <c r="G66" s="23">
        <v>845</v>
      </c>
      <c r="H66" s="23">
        <v>915</v>
      </c>
      <c r="I66" s="75"/>
      <c r="J66" s="77"/>
    </row>
    <row r="67" spans="1:10" ht="16.2" thickBot="1" x14ac:dyDescent="0.35">
      <c r="A67" s="82"/>
      <c r="B67" s="80"/>
      <c r="C67" s="76"/>
      <c r="D67" s="76"/>
      <c r="E67" s="76"/>
      <c r="F67" s="1">
        <v>720</v>
      </c>
      <c r="G67" s="1">
        <v>720</v>
      </c>
      <c r="H67" s="1">
        <v>720</v>
      </c>
      <c r="I67" s="76"/>
      <c r="J67" s="78"/>
    </row>
    <row r="68" spans="1:10" ht="15.6" x14ac:dyDescent="0.3">
      <c r="A68" s="81">
        <v>1600</v>
      </c>
      <c r="B68" s="79">
        <v>1800</v>
      </c>
      <c r="C68" s="75"/>
      <c r="D68" s="75"/>
      <c r="E68" s="75"/>
      <c r="F68" s="23">
        <v>912</v>
      </c>
      <c r="G68" s="23">
        <v>970</v>
      </c>
      <c r="H68" s="41">
        <v>1050</v>
      </c>
      <c r="I68" s="75"/>
      <c r="J68" s="77"/>
    </row>
    <row r="69" spans="1:10" ht="16.2" thickBot="1" x14ac:dyDescent="0.35">
      <c r="A69" s="82"/>
      <c r="B69" s="80"/>
      <c r="C69" s="76"/>
      <c r="D69" s="76"/>
      <c r="E69" s="76"/>
      <c r="F69" s="1">
        <v>820</v>
      </c>
      <c r="G69" s="1">
        <v>820</v>
      </c>
      <c r="H69" s="1">
        <v>820</v>
      </c>
      <c r="I69" s="76"/>
      <c r="J69" s="78"/>
    </row>
    <row r="70" spans="1:10" ht="15.6" x14ac:dyDescent="0.3">
      <c r="A70" s="81">
        <v>1800</v>
      </c>
      <c r="B70" s="79">
        <v>2000</v>
      </c>
      <c r="C70" s="75"/>
      <c r="D70" s="75"/>
      <c r="E70" s="75"/>
      <c r="F70" s="41">
        <v>1012</v>
      </c>
      <c r="G70" s="41">
        <v>1070</v>
      </c>
      <c r="H70" s="41">
        <v>1150</v>
      </c>
      <c r="I70" s="75"/>
      <c r="J70" s="77"/>
    </row>
    <row r="71" spans="1:10" ht="16.2" thickBot="1" x14ac:dyDescent="0.35">
      <c r="A71" s="82"/>
      <c r="B71" s="80"/>
      <c r="C71" s="76"/>
      <c r="D71" s="76"/>
      <c r="E71" s="76"/>
      <c r="F71" s="1">
        <v>920</v>
      </c>
      <c r="G71" s="1">
        <v>920</v>
      </c>
      <c r="H71" s="1">
        <v>920</v>
      </c>
      <c r="I71" s="76"/>
      <c r="J71" s="78"/>
    </row>
    <row r="72" spans="1:10" ht="15.6" x14ac:dyDescent="0.3">
      <c r="A72" s="81">
        <v>2000</v>
      </c>
      <c r="B72" s="79">
        <v>2240</v>
      </c>
      <c r="C72" s="75"/>
      <c r="D72" s="75"/>
      <c r="E72" s="75"/>
      <c r="F72" s="41">
        <v>1110</v>
      </c>
      <c r="G72" s="41">
        <v>1175</v>
      </c>
      <c r="H72" s="41">
        <v>1280</v>
      </c>
      <c r="I72" s="75"/>
      <c r="J72" s="77"/>
    </row>
    <row r="73" spans="1:10" ht="16.2" thickBot="1" x14ac:dyDescent="0.35">
      <c r="A73" s="82"/>
      <c r="B73" s="80"/>
      <c r="C73" s="76"/>
      <c r="D73" s="76"/>
      <c r="E73" s="76"/>
      <c r="F73" s="28">
        <v>1000</v>
      </c>
      <c r="G73" s="28">
        <v>1000</v>
      </c>
      <c r="H73" s="28">
        <v>1000</v>
      </c>
      <c r="I73" s="76"/>
      <c r="J73" s="78"/>
    </row>
    <row r="74" spans="1:10" ht="15.6" x14ac:dyDescent="0.3">
      <c r="A74" s="81">
        <v>2240</v>
      </c>
      <c r="B74" s="79">
        <v>2500</v>
      </c>
      <c r="C74" s="75"/>
      <c r="D74" s="75"/>
      <c r="E74" s="75"/>
      <c r="F74" s="41">
        <v>1210</v>
      </c>
      <c r="G74" s="41">
        <v>1275</v>
      </c>
      <c r="H74" s="41">
        <v>1380</v>
      </c>
      <c r="I74" s="75"/>
      <c r="J74" s="77"/>
    </row>
    <row r="75" spans="1:10" ht="16.2" thickBot="1" x14ac:dyDescent="0.35">
      <c r="A75" s="82"/>
      <c r="B75" s="80"/>
      <c r="C75" s="76"/>
      <c r="D75" s="76"/>
      <c r="E75" s="76"/>
      <c r="F75" s="28">
        <v>1100</v>
      </c>
      <c r="G75" s="28">
        <v>1100</v>
      </c>
      <c r="H75" s="28">
        <v>1100</v>
      </c>
      <c r="I75" s="76"/>
      <c r="J75" s="78"/>
    </row>
    <row r="76" spans="1:10" ht="15.6" x14ac:dyDescent="0.3">
      <c r="A76" s="81">
        <v>2500</v>
      </c>
      <c r="B76" s="79">
        <v>2800</v>
      </c>
      <c r="C76" s="75"/>
      <c r="D76" s="75"/>
      <c r="E76" s="75"/>
      <c r="F76" s="41">
        <v>1385</v>
      </c>
      <c r="G76" s="41">
        <v>1460</v>
      </c>
      <c r="H76" s="41">
        <v>1580</v>
      </c>
      <c r="I76" s="75"/>
      <c r="J76" s="77"/>
    </row>
    <row r="77" spans="1:10" ht="16.2" thickBot="1" x14ac:dyDescent="0.35">
      <c r="A77" s="82"/>
      <c r="B77" s="80"/>
      <c r="C77" s="76"/>
      <c r="D77" s="76"/>
      <c r="E77" s="76"/>
      <c r="F77" s="28">
        <v>1250</v>
      </c>
      <c r="G77" s="28">
        <v>1250</v>
      </c>
      <c r="H77" s="28">
        <v>1250</v>
      </c>
      <c r="I77" s="76"/>
      <c r="J77" s="78"/>
    </row>
    <row r="78" spans="1:10" ht="15.6" x14ac:dyDescent="0.3">
      <c r="A78" s="81">
        <v>2800</v>
      </c>
      <c r="B78" s="79">
        <v>3150</v>
      </c>
      <c r="C78" s="75"/>
      <c r="D78" s="75"/>
      <c r="E78" s="75"/>
      <c r="F78" s="41">
        <v>1535</v>
      </c>
      <c r="G78" s="41">
        <v>1610</v>
      </c>
      <c r="H78" s="41">
        <v>1730</v>
      </c>
      <c r="I78" s="75"/>
      <c r="J78" s="77"/>
    </row>
    <row r="79" spans="1:10" ht="16.2" thickBot="1" x14ac:dyDescent="0.35">
      <c r="A79" s="96"/>
      <c r="B79" s="119"/>
      <c r="C79" s="122"/>
      <c r="D79" s="122"/>
      <c r="E79" s="122"/>
      <c r="F79" s="42">
        <v>1400</v>
      </c>
      <c r="G79" s="42">
        <v>1400</v>
      </c>
      <c r="H79" s="42">
        <v>1400</v>
      </c>
      <c r="I79" s="122"/>
      <c r="J79" s="123"/>
    </row>
    <row r="80" spans="1:10" ht="15.6" thickTop="1" x14ac:dyDescent="0.3"/>
  </sheetData>
  <mergeCells count="191">
    <mergeCell ref="J76:J77"/>
    <mergeCell ref="A78:A79"/>
    <mergeCell ref="B78:B79"/>
    <mergeCell ref="C78:C79"/>
    <mergeCell ref="D78:D79"/>
    <mergeCell ref="E78:E79"/>
    <mergeCell ref="I78:I79"/>
    <mergeCell ref="J78:J79"/>
    <mergeCell ref="A76:A77"/>
    <mergeCell ref="B76:B77"/>
    <mergeCell ref="C76:C77"/>
    <mergeCell ref="D76:D77"/>
    <mergeCell ref="E76:E77"/>
    <mergeCell ref="I76:I77"/>
    <mergeCell ref="J72:J73"/>
    <mergeCell ref="A74:A75"/>
    <mergeCell ref="B74:B75"/>
    <mergeCell ref="C74:C75"/>
    <mergeCell ref="D74:D75"/>
    <mergeCell ref="E74:E75"/>
    <mergeCell ref="I74:I75"/>
    <mergeCell ref="J74:J75"/>
    <mergeCell ref="A72:A73"/>
    <mergeCell ref="B72:B73"/>
    <mergeCell ref="C72:C73"/>
    <mergeCell ref="D72:D73"/>
    <mergeCell ref="E72:E73"/>
    <mergeCell ref="I72:I73"/>
    <mergeCell ref="J68:J69"/>
    <mergeCell ref="A70:A71"/>
    <mergeCell ref="B70:B71"/>
    <mergeCell ref="C70:C71"/>
    <mergeCell ref="D70:D71"/>
    <mergeCell ref="E70:E71"/>
    <mergeCell ref="I70:I71"/>
    <mergeCell ref="J70:J71"/>
    <mergeCell ref="A68:A69"/>
    <mergeCell ref="B68:B69"/>
    <mergeCell ref="C68:C69"/>
    <mergeCell ref="D68:D69"/>
    <mergeCell ref="E68:E69"/>
    <mergeCell ref="I68:I69"/>
    <mergeCell ref="J64:J65"/>
    <mergeCell ref="A66:A67"/>
    <mergeCell ref="B66:B67"/>
    <mergeCell ref="C66:C67"/>
    <mergeCell ref="D66:D67"/>
    <mergeCell ref="E66:E67"/>
    <mergeCell ref="I66:I67"/>
    <mergeCell ref="J66:J67"/>
    <mergeCell ref="A64:A65"/>
    <mergeCell ref="B64:B65"/>
    <mergeCell ref="C64:C65"/>
    <mergeCell ref="D64:D65"/>
    <mergeCell ref="E64:E65"/>
    <mergeCell ref="I64:I65"/>
    <mergeCell ref="J60:J61"/>
    <mergeCell ref="A62:A63"/>
    <mergeCell ref="B62:B63"/>
    <mergeCell ref="C62:C63"/>
    <mergeCell ref="D62:D63"/>
    <mergeCell ref="E62:E63"/>
    <mergeCell ref="I62:I63"/>
    <mergeCell ref="J62:J63"/>
    <mergeCell ref="A60:A61"/>
    <mergeCell ref="B60:B61"/>
    <mergeCell ref="C60:C61"/>
    <mergeCell ref="D60:D61"/>
    <mergeCell ref="E60:E61"/>
    <mergeCell ref="I60:I61"/>
    <mergeCell ref="J56:J57"/>
    <mergeCell ref="A58:A59"/>
    <mergeCell ref="B58:B59"/>
    <mergeCell ref="C58:C59"/>
    <mergeCell ref="D58:D59"/>
    <mergeCell ref="E58:E59"/>
    <mergeCell ref="I58:I59"/>
    <mergeCell ref="J58:J59"/>
    <mergeCell ref="A56:A57"/>
    <mergeCell ref="B56:B57"/>
    <mergeCell ref="C56:C57"/>
    <mergeCell ref="D56:D57"/>
    <mergeCell ref="E56:E57"/>
    <mergeCell ref="I56:I57"/>
    <mergeCell ref="J52:J53"/>
    <mergeCell ref="A54:A55"/>
    <mergeCell ref="B54:B55"/>
    <mergeCell ref="C54:C55"/>
    <mergeCell ref="D54:D55"/>
    <mergeCell ref="E54:E55"/>
    <mergeCell ref="I54:I55"/>
    <mergeCell ref="J54:J55"/>
    <mergeCell ref="A52:A53"/>
    <mergeCell ref="B52:B53"/>
    <mergeCell ref="C52:C53"/>
    <mergeCell ref="D52:D53"/>
    <mergeCell ref="E52:E53"/>
    <mergeCell ref="I52:I53"/>
    <mergeCell ref="J48:J49"/>
    <mergeCell ref="A50:A51"/>
    <mergeCell ref="B50:B51"/>
    <mergeCell ref="C50:C51"/>
    <mergeCell ref="D50:D51"/>
    <mergeCell ref="E50:E51"/>
    <mergeCell ref="I50:I51"/>
    <mergeCell ref="J50:J51"/>
    <mergeCell ref="A48:A49"/>
    <mergeCell ref="B48:B49"/>
    <mergeCell ref="C48:C49"/>
    <mergeCell ref="D48:D49"/>
    <mergeCell ref="E48:E49"/>
    <mergeCell ref="I48:I49"/>
    <mergeCell ref="A46:A47"/>
    <mergeCell ref="B46:B47"/>
    <mergeCell ref="C46:C47"/>
    <mergeCell ref="J46:J47"/>
    <mergeCell ref="A42:A43"/>
    <mergeCell ref="B42:B43"/>
    <mergeCell ref="C42:C43"/>
    <mergeCell ref="J42:J43"/>
    <mergeCell ref="A44:A45"/>
    <mergeCell ref="B44:B45"/>
    <mergeCell ref="C44:C45"/>
    <mergeCell ref="J44:J45"/>
    <mergeCell ref="A38:A39"/>
    <mergeCell ref="B38:B39"/>
    <mergeCell ref="C38:C39"/>
    <mergeCell ref="J38:J39"/>
    <mergeCell ref="A40:A41"/>
    <mergeCell ref="B40:B41"/>
    <mergeCell ref="C40:C41"/>
    <mergeCell ref="J40:J41"/>
    <mergeCell ref="A34:A35"/>
    <mergeCell ref="B34:B35"/>
    <mergeCell ref="C34:C35"/>
    <mergeCell ref="J34:J35"/>
    <mergeCell ref="A36:A37"/>
    <mergeCell ref="B36:B37"/>
    <mergeCell ref="C36:C37"/>
    <mergeCell ref="J36:J37"/>
    <mergeCell ref="A30:A31"/>
    <mergeCell ref="B30:B31"/>
    <mergeCell ref="C30:C31"/>
    <mergeCell ref="J30:J31"/>
    <mergeCell ref="A32:A33"/>
    <mergeCell ref="B32:B33"/>
    <mergeCell ref="C32:C33"/>
    <mergeCell ref="J32:J33"/>
    <mergeCell ref="A26:A27"/>
    <mergeCell ref="B26:B27"/>
    <mergeCell ref="C26:C27"/>
    <mergeCell ref="J26:J27"/>
    <mergeCell ref="A28:A29"/>
    <mergeCell ref="B28:B29"/>
    <mergeCell ref="C28:C29"/>
    <mergeCell ref="J28:J29"/>
    <mergeCell ref="A22:A23"/>
    <mergeCell ref="B22:B23"/>
    <mergeCell ref="C22:C23"/>
    <mergeCell ref="J22:J23"/>
    <mergeCell ref="A24:A25"/>
    <mergeCell ref="B24:B25"/>
    <mergeCell ref="C24:C25"/>
    <mergeCell ref="J24:J25"/>
    <mergeCell ref="A18:A19"/>
    <mergeCell ref="B18:B19"/>
    <mergeCell ref="C18:C19"/>
    <mergeCell ref="J18:J19"/>
    <mergeCell ref="A20:A21"/>
    <mergeCell ref="B20:B21"/>
    <mergeCell ref="C20:C21"/>
    <mergeCell ref="J20:J21"/>
    <mergeCell ref="A16:A17"/>
    <mergeCell ref="B16:B17"/>
    <mergeCell ref="C16:C17"/>
    <mergeCell ref="J16:J17"/>
    <mergeCell ref="A8:A9"/>
    <mergeCell ref="B8:B9"/>
    <mergeCell ref="A10:A11"/>
    <mergeCell ref="B10:B11"/>
    <mergeCell ref="A12:A13"/>
    <mergeCell ref="B12:B13"/>
    <mergeCell ref="A1:B1"/>
    <mergeCell ref="A2:B2"/>
    <mergeCell ref="C1:J2"/>
    <mergeCell ref="A4:A5"/>
    <mergeCell ref="B4:B5"/>
    <mergeCell ref="A6:A7"/>
    <mergeCell ref="B6:B7"/>
    <mergeCell ref="A14:A15"/>
    <mergeCell ref="B14:B15"/>
  </mergeCells>
  <phoneticPr fontId="7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51957-E557-4EAF-9038-8B81C6DA4D30}">
  <dimension ref="A1:K85"/>
  <sheetViews>
    <sheetView tabSelected="1" topLeftCell="A56" workbookViewId="0">
      <selection activeCell="A84" sqref="A84:K84"/>
    </sheetView>
  </sheetViews>
  <sheetFormatPr defaultRowHeight="15" x14ac:dyDescent="0.3"/>
  <sheetData>
    <row r="1" spans="1:11" ht="16.2" thickTop="1" x14ac:dyDescent="0.3">
      <c r="A1" s="65" t="s">
        <v>0</v>
      </c>
      <c r="B1" s="66"/>
      <c r="C1" s="51" t="s">
        <v>40</v>
      </c>
      <c r="D1" s="52"/>
      <c r="E1" s="52"/>
      <c r="F1" s="63"/>
      <c r="G1" s="51" t="s">
        <v>39</v>
      </c>
      <c r="H1" s="52"/>
      <c r="I1" s="52"/>
      <c r="J1" s="52"/>
      <c r="K1" s="53"/>
    </row>
    <row r="2" spans="1:11" ht="16.2" thickBot="1" x14ac:dyDescent="0.35">
      <c r="A2" s="61" t="s">
        <v>1</v>
      </c>
      <c r="B2" s="62"/>
      <c r="C2" s="54"/>
      <c r="D2" s="55"/>
      <c r="E2" s="55"/>
      <c r="F2" s="64"/>
      <c r="G2" s="54"/>
      <c r="H2" s="55"/>
      <c r="I2" s="55"/>
      <c r="J2" s="55"/>
      <c r="K2" s="56"/>
    </row>
    <row r="3" spans="1:11" ht="16.2" thickBot="1" x14ac:dyDescent="0.35">
      <c r="A3" s="21" t="s">
        <v>3</v>
      </c>
      <c r="B3" s="20" t="s">
        <v>4</v>
      </c>
      <c r="C3" s="2">
        <v>5</v>
      </c>
      <c r="D3" s="2">
        <v>6</v>
      </c>
      <c r="E3" s="2">
        <v>7</v>
      </c>
      <c r="F3" s="2">
        <v>8</v>
      </c>
      <c r="G3" s="2">
        <v>5</v>
      </c>
      <c r="H3" s="2">
        <v>6</v>
      </c>
      <c r="I3" s="2">
        <v>7</v>
      </c>
      <c r="J3" s="2">
        <v>8</v>
      </c>
      <c r="K3" s="3">
        <v>9</v>
      </c>
    </row>
    <row r="4" spans="1:11" ht="15.6" x14ac:dyDescent="0.3">
      <c r="A4" s="73" t="s">
        <v>5</v>
      </c>
      <c r="B4" s="49">
        <v>3</v>
      </c>
      <c r="C4" s="75"/>
      <c r="D4" s="75"/>
      <c r="E4" s="75"/>
      <c r="F4" s="75"/>
      <c r="G4" s="23">
        <v>22</v>
      </c>
      <c r="H4" s="23">
        <v>24</v>
      </c>
      <c r="I4" s="23">
        <v>28</v>
      </c>
      <c r="J4" s="23">
        <v>32</v>
      </c>
      <c r="K4" s="24">
        <v>43</v>
      </c>
    </row>
    <row r="5" spans="1:11" ht="16.2" thickBot="1" x14ac:dyDescent="0.35">
      <c r="A5" s="74"/>
      <c r="B5" s="50"/>
      <c r="C5" s="76"/>
      <c r="D5" s="76"/>
      <c r="E5" s="76"/>
      <c r="F5" s="76"/>
      <c r="G5" s="1">
        <v>18</v>
      </c>
      <c r="H5" s="1">
        <v>18</v>
      </c>
      <c r="I5" s="1">
        <v>18</v>
      </c>
      <c r="J5" s="1">
        <v>18</v>
      </c>
      <c r="K5" s="19">
        <v>18</v>
      </c>
    </row>
    <row r="6" spans="1:11" ht="15.6" x14ac:dyDescent="0.3">
      <c r="A6" s="47">
        <v>3</v>
      </c>
      <c r="B6" s="49">
        <v>6</v>
      </c>
      <c r="C6" s="75"/>
      <c r="D6" s="75"/>
      <c r="E6" s="75"/>
      <c r="F6" s="75"/>
      <c r="G6" s="23">
        <v>28</v>
      </c>
      <c r="H6" s="23">
        <v>31</v>
      </c>
      <c r="I6" s="23">
        <v>35</v>
      </c>
      <c r="J6" s="23">
        <v>41</v>
      </c>
      <c r="K6" s="24">
        <v>53</v>
      </c>
    </row>
    <row r="7" spans="1:11" ht="16.2" thickBot="1" x14ac:dyDescent="0.35">
      <c r="A7" s="48"/>
      <c r="B7" s="50"/>
      <c r="C7" s="76"/>
      <c r="D7" s="76"/>
      <c r="E7" s="76"/>
      <c r="F7" s="76"/>
      <c r="G7" s="1">
        <v>23</v>
      </c>
      <c r="H7" s="1">
        <v>23</v>
      </c>
      <c r="I7" s="1">
        <v>23</v>
      </c>
      <c r="J7" s="1">
        <v>23</v>
      </c>
      <c r="K7" s="19">
        <v>23</v>
      </c>
    </row>
    <row r="8" spans="1:11" ht="15.6" x14ac:dyDescent="0.3">
      <c r="A8" s="47">
        <v>6</v>
      </c>
      <c r="B8" s="49">
        <v>10</v>
      </c>
      <c r="C8" s="75"/>
      <c r="D8" s="75"/>
      <c r="E8" s="75"/>
      <c r="F8" s="75"/>
      <c r="G8" s="23">
        <v>34</v>
      </c>
      <c r="H8" s="23">
        <v>37</v>
      </c>
      <c r="I8" s="23">
        <v>43</v>
      </c>
      <c r="J8" s="23">
        <v>50</v>
      </c>
      <c r="K8" s="24">
        <v>64</v>
      </c>
    </row>
    <row r="9" spans="1:11" ht="16.2" thickBot="1" x14ac:dyDescent="0.35">
      <c r="A9" s="48"/>
      <c r="B9" s="50"/>
      <c r="C9" s="76"/>
      <c r="D9" s="76"/>
      <c r="E9" s="76"/>
      <c r="F9" s="76"/>
      <c r="G9" s="1">
        <v>28</v>
      </c>
      <c r="H9" s="1">
        <v>28</v>
      </c>
      <c r="I9" s="1">
        <v>28</v>
      </c>
      <c r="J9" s="1">
        <v>28</v>
      </c>
      <c r="K9" s="19">
        <v>28</v>
      </c>
    </row>
    <row r="10" spans="1:11" ht="15.6" x14ac:dyDescent="0.3">
      <c r="A10" s="47">
        <v>10</v>
      </c>
      <c r="B10" s="49">
        <v>18</v>
      </c>
      <c r="C10" s="75"/>
      <c r="D10" s="75"/>
      <c r="E10" s="75"/>
      <c r="F10" s="75"/>
      <c r="G10" s="23">
        <v>41</v>
      </c>
      <c r="H10" s="23">
        <v>44</v>
      </c>
      <c r="I10" s="23">
        <v>51</v>
      </c>
      <c r="J10" s="23">
        <v>60</v>
      </c>
      <c r="K10" s="24">
        <v>76</v>
      </c>
    </row>
    <row r="11" spans="1:11" ht="16.2" thickBot="1" x14ac:dyDescent="0.35">
      <c r="A11" s="48"/>
      <c r="B11" s="50"/>
      <c r="C11" s="76"/>
      <c r="D11" s="76"/>
      <c r="E11" s="76"/>
      <c r="F11" s="76"/>
      <c r="G11" s="1">
        <v>33</v>
      </c>
      <c r="H11" s="1">
        <v>33</v>
      </c>
      <c r="I11" s="1">
        <v>33</v>
      </c>
      <c r="J11" s="1">
        <v>33</v>
      </c>
      <c r="K11" s="19">
        <v>33</v>
      </c>
    </row>
    <row r="12" spans="1:11" ht="15.6" x14ac:dyDescent="0.3">
      <c r="A12" s="47">
        <v>18</v>
      </c>
      <c r="B12" s="49">
        <v>24</v>
      </c>
      <c r="C12" s="75"/>
      <c r="D12" s="75"/>
      <c r="E12" s="75"/>
      <c r="F12" s="75"/>
      <c r="G12" s="23">
        <v>50</v>
      </c>
      <c r="H12" s="23">
        <v>54</v>
      </c>
      <c r="I12" s="23">
        <v>62</v>
      </c>
      <c r="J12" s="23">
        <v>74</v>
      </c>
      <c r="K12" s="24">
        <v>93</v>
      </c>
    </row>
    <row r="13" spans="1:11" ht="16.2" thickBot="1" x14ac:dyDescent="0.35">
      <c r="A13" s="48"/>
      <c r="B13" s="50"/>
      <c r="C13" s="76"/>
      <c r="D13" s="76"/>
      <c r="E13" s="76"/>
      <c r="F13" s="76"/>
      <c r="G13" s="1">
        <v>41</v>
      </c>
      <c r="H13" s="1">
        <v>41</v>
      </c>
      <c r="I13" s="1">
        <v>41</v>
      </c>
      <c r="J13" s="1">
        <v>41</v>
      </c>
      <c r="K13" s="19">
        <v>41</v>
      </c>
    </row>
    <row r="14" spans="1:11" ht="15.6" x14ac:dyDescent="0.3">
      <c r="A14" s="47">
        <v>24</v>
      </c>
      <c r="B14" s="49">
        <v>30</v>
      </c>
      <c r="C14" s="23">
        <v>50</v>
      </c>
      <c r="D14" s="23">
        <v>54</v>
      </c>
      <c r="E14" s="23">
        <v>62</v>
      </c>
      <c r="F14" s="23">
        <v>74</v>
      </c>
      <c r="G14" s="23">
        <v>57</v>
      </c>
      <c r="H14" s="23">
        <v>61</v>
      </c>
      <c r="I14" s="23">
        <v>69</v>
      </c>
      <c r="J14" s="23">
        <v>81</v>
      </c>
      <c r="K14" s="24">
        <v>100</v>
      </c>
    </row>
    <row r="15" spans="1:11" ht="16.2" thickBot="1" x14ac:dyDescent="0.35">
      <c r="A15" s="48"/>
      <c r="B15" s="50"/>
      <c r="C15" s="1">
        <v>41</v>
      </c>
      <c r="D15" s="1">
        <v>41</v>
      </c>
      <c r="E15" s="1">
        <v>41</v>
      </c>
      <c r="F15" s="1">
        <v>41</v>
      </c>
      <c r="G15" s="1">
        <v>48</v>
      </c>
      <c r="H15" s="1">
        <v>48</v>
      </c>
      <c r="I15" s="1">
        <v>48</v>
      </c>
      <c r="J15" s="1">
        <v>48</v>
      </c>
      <c r="K15" s="19">
        <v>48</v>
      </c>
    </row>
    <row r="16" spans="1:11" ht="15.6" x14ac:dyDescent="0.3">
      <c r="A16" s="47">
        <v>30</v>
      </c>
      <c r="B16" s="49">
        <v>40</v>
      </c>
      <c r="C16" s="23">
        <v>59</v>
      </c>
      <c r="D16" s="23">
        <v>64</v>
      </c>
      <c r="E16" s="23">
        <v>73</v>
      </c>
      <c r="F16" s="23">
        <v>87</v>
      </c>
      <c r="G16" s="23">
        <v>71</v>
      </c>
      <c r="H16" s="23">
        <v>76</v>
      </c>
      <c r="I16" s="23">
        <v>85</v>
      </c>
      <c r="J16" s="23">
        <v>99</v>
      </c>
      <c r="K16" s="24">
        <v>122</v>
      </c>
    </row>
    <row r="17" spans="1:11" ht="16.2" thickBot="1" x14ac:dyDescent="0.35">
      <c r="A17" s="48"/>
      <c r="B17" s="50"/>
      <c r="C17" s="1">
        <v>48</v>
      </c>
      <c r="D17" s="1">
        <v>48</v>
      </c>
      <c r="E17" s="1">
        <v>48</v>
      </c>
      <c r="F17" s="1">
        <v>48</v>
      </c>
      <c r="G17" s="1">
        <v>60</v>
      </c>
      <c r="H17" s="1">
        <v>60</v>
      </c>
      <c r="I17" s="1">
        <v>60</v>
      </c>
      <c r="J17" s="1">
        <v>60</v>
      </c>
      <c r="K17" s="19">
        <v>60</v>
      </c>
    </row>
    <row r="18" spans="1:11" ht="15.6" x14ac:dyDescent="0.3">
      <c r="A18" s="47">
        <v>40</v>
      </c>
      <c r="B18" s="49">
        <v>50</v>
      </c>
      <c r="C18" s="23">
        <v>65</v>
      </c>
      <c r="D18" s="23">
        <v>70</v>
      </c>
      <c r="E18" s="23">
        <v>79</v>
      </c>
      <c r="F18" s="23">
        <v>93</v>
      </c>
      <c r="G18" s="23">
        <v>81</v>
      </c>
      <c r="H18" s="23">
        <v>86</v>
      </c>
      <c r="I18" s="23">
        <v>95</v>
      </c>
      <c r="J18" s="23">
        <v>109</v>
      </c>
      <c r="K18" s="24">
        <v>132</v>
      </c>
    </row>
    <row r="19" spans="1:11" ht="16.2" thickBot="1" x14ac:dyDescent="0.35">
      <c r="A19" s="48"/>
      <c r="B19" s="50"/>
      <c r="C19" s="1">
        <v>54</v>
      </c>
      <c r="D19" s="1">
        <v>54</v>
      </c>
      <c r="E19" s="1">
        <v>54</v>
      </c>
      <c r="F19" s="1">
        <v>54</v>
      </c>
      <c r="G19" s="1">
        <v>70</v>
      </c>
      <c r="H19" s="1">
        <v>70</v>
      </c>
      <c r="I19" s="1">
        <v>70</v>
      </c>
      <c r="J19" s="1">
        <v>70</v>
      </c>
      <c r="K19" s="19">
        <v>70</v>
      </c>
    </row>
    <row r="20" spans="1:11" ht="15.6" x14ac:dyDescent="0.3">
      <c r="A20" s="47">
        <v>50</v>
      </c>
      <c r="B20" s="49">
        <v>65</v>
      </c>
      <c r="C20" s="23">
        <v>79</v>
      </c>
      <c r="D20" s="23">
        <v>85</v>
      </c>
      <c r="E20" s="23">
        <v>96</v>
      </c>
      <c r="F20" s="23">
        <v>112</v>
      </c>
      <c r="G20" s="23">
        <v>100</v>
      </c>
      <c r="H20" s="23">
        <v>106</v>
      </c>
      <c r="I20" s="23">
        <v>117</v>
      </c>
      <c r="J20" s="23">
        <v>133</v>
      </c>
      <c r="K20" s="24">
        <v>161</v>
      </c>
    </row>
    <row r="21" spans="1:11" ht="16.2" thickBot="1" x14ac:dyDescent="0.35">
      <c r="A21" s="48"/>
      <c r="B21" s="50"/>
      <c r="C21" s="1">
        <v>66</v>
      </c>
      <c r="D21" s="1">
        <v>66</v>
      </c>
      <c r="E21" s="1">
        <v>66</v>
      </c>
      <c r="F21" s="1">
        <v>66</v>
      </c>
      <c r="G21" s="1">
        <v>87</v>
      </c>
      <c r="H21" s="1">
        <v>87</v>
      </c>
      <c r="I21" s="1">
        <v>87</v>
      </c>
      <c r="J21" s="1">
        <v>87</v>
      </c>
      <c r="K21" s="19">
        <v>87</v>
      </c>
    </row>
    <row r="22" spans="1:11" ht="15.6" x14ac:dyDescent="0.3">
      <c r="A22" s="47">
        <v>65</v>
      </c>
      <c r="B22" s="49">
        <v>80</v>
      </c>
      <c r="C22" s="23">
        <v>88</v>
      </c>
      <c r="D22" s="23">
        <v>94</v>
      </c>
      <c r="E22" s="23">
        <v>105</v>
      </c>
      <c r="F22" s="23">
        <v>121</v>
      </c>
      <c r="G22" s="23">
        <v>115</v>
      </c>
      <c r="H22" s="23">
        <v>121</v>
      </c>
      <c r="I22" s="23">
        <v>132</v>
      </c>
      <c r="J22" s="23">
        <v>148</v>
      </c>
      <c r="K22" s="24">
        <v>176</v>
      </c>
    </row>
    <row r="23" spans="1:11" ht="16.2" thickBot="1" x14ac:dyDescent="0.35">
      <c r="A23" s="48"/>
      <c r="B23" s="50"/>
      <c r="C23" s="1">
        <v>75</v>
      </c>
      <c r="D23" s="1">
        <v>75</v>
      </c>
      <c r="E23" s="1">
        <v>75</v>
      </c>
      <c r="F23" s="1">
        <v>75</v>
      </c>
      <c r="G23" s="1">
        <v>102</v>
      </c>
      <c r="H23" s="1">
        <v>102</v>
      </c>
      <c r="I23" s="1">
        <v>102</v>
      </c>
      <c r="J23" s="1">
        <v>102</v>
      </c>
      <c r="K23" s="19">
        <v>102</v>
      </c>
    </row>
    <row r="24" spans="1:11" ht="15.6" x14ac:dyDescent="0.3">
      <c r="A24" s="47">
        <v>80</v>
      </c>
      <c r="B24" s="49">
        <v>100</v>
      </c>
      <c r="C24" s="23">
        <v>106</v>
      </c>
      <c r="D24" s="23">
        <v>113</v>
      </c>
      <c r="E24" s="23">
        <v>126</v>
      </c>
      <c r="F24" s="23">
        <v>145</v>
      </c>
      <c r="G24" s="23">
        <v>139</v>
      </c>
      <c r="H24" s="23">
        <v>146</v>
      </c>
      <c r="I24" s="23">
        <v>159</v>
      </c>
      <c r="J24" s="23">
        <v>178</v>
      </c>
      <c r="K24" s="24">
        <v>211</v>
      </c>
    </row>
    <row r="25" spans="1:11" ht="16.2" thickBot="1" x14ac:dyDescent="0.35">
      <c r="A25" s="48"/>
      <c r="B25" s="50"/>
      <c r="C25" s="1">
        <v>91</v>
      </c>
      <c r="D25" s="1">
        <v>91</v>
      </c>
      <c r="E25" s="1">
        <v>91</v>
      </c>
      <c r="F25" s="1">
        <v>91</v>
      </c>
      <c r="G25" s="1">
        <v>124</v>
      </c>
      <c r="H25" s="1">
        <v>124</v>
      </c>
      <c r="I25" s="1">
        <v>124</v>
      </c>
      <c r="J25" s="1">
        <v>124</v>
      </c>
      <c r="K25" s="19">
        <v>124</v>
      </c>
    </row>
    <row r="26" spans="1:11" ht="15.6" x14ac:dyDescent="0.3">
      <c r="A26" s="47">
        <v>100</v>
      </c>
      <c r="B26" s="49">
        <v>120</v>
      </c>
      <c r="C26" s="23">
        <v>119</v>
      </c>
      <c r="D26" s="23">
        <v>126</v>
      </c>
      <c r="E26" s="23">
        <v>139</v>
      </c>
      <c r="F26" s="23">
        <v>158</v>
      </c>
      <c r="G26" s="23">
        <v>159</v>
      </c>
      <c r="H26" s="23">
        <v>166</v>
      </c>
      <c r="I26" s="23">
        <v>179</v>
      </c>
      <c r="J26" s="23">
        <v>198</v>
      </c>
      <c r="K26" s="24">
        <v>231</v>
      </c>
    </row>
    <row r="27" spans="1:11" ht="16.2" thickBot="1" x14ac:dyDescent="0.35">
      <c r="A27" s="48"/>
      <c r="B27" s="50"/>
      <c r="C27" s="1">
        <v>104</v>
      </c>
      <c r="D27" s="1">
        <v>104</v>
      </c>
      <c r="E27" s="1">
        <v>104</v>
      </c>
      <c r="F27" s="1">
        <v>104</v>
      </c>
      <c r="G27" s="1">
        <v>144</v>
      </c>
      <c r="H27" s="1">
        <v>144</v>
      </c>
      <c r="I27" s="1">
        <v>144</v>
      </c>
      <c r="J27" s="1">
        <v>144</v>
      </c>
      <c r="K27" s="19">
        <v>144</v>
      </c>
    </row>
    <row r="28" spans="1:11" ht="15.6" x14ac:dyDescent="0.3">
      <c r="A28" s="47">
        <v>120</v>
      </c>
      <c r="B28" s="49">
        <v>140</v>
      </c>
      <c r="C28" s="23">
        <v>140</v>
      </c>
      <c r="D28" s="23">
        <v>147</v>
      </c>
      <c r="E28" s="23">
        <v>162</v>
      </c>
      <c r="F28" s="23">
        <v>185</v>
      </c>
      <c r="G28" s="23">
        <v>188</v>
      </c>
      <c r="H28" s="23">
        <v>195</v>
      </c>
      <c r="I28" s="23">
        <v>210</v>
      </c>
      <c r="J28" s="23">
        <v>233</v>
      </c>
      <c r="K28" s="24">
        <v>270</v>
      </c>
    </row>
    <row r="29" spans="1:11" ht="16.2" thickBot="1" x14ac:dyDescent="0.35">
      <c r="A29" s="48"/>
      <c r="B29" s="50"/>
      <c r="C29" s="1">
        <v>122</v>
      </c>
      <c r="D29" s="1">
        <v>122</v>
      </c>
      <c r="E29" s="1">
        <v>122</v>
      </c>
      <c r="F29" s="1">
        <v>122</v>
      </c>
      <c r="G29" s="1">
        <v>170</v>
      </c>
      <c r="H29" s="1">
        <v>170</v>
      </c>
      <c r="I29" s="1">
        <v>170</v>
      </c>
      <c r="J29" s="1">
        <v>170</v>
      </c>
      <c r="K29" s="19">
        <v>170</v>
      </c>
    </row>
    <row r="30" spans="1:11" ht="15.6" x14ac:dyDescent="0.3">
      <c r="A30" s="47">
        <v>140</v>
      </c>
      <c r="B30" s="49">
        <v>160</v>
      </c>
      <c r="C30" s="23">
        <v>152</v>
      </c>
      <c r="D30" s="23">
        <v>159</v>
      </c>
      <c r="E30" s="23">
        <v>174</v>
      </c>
      <c r="F30" s="23">
        <v>197</v>
      </c>
      <c r="G30" s="23">
        <v>208</v>
      </c>
      <c r="H30" s="23">
        <v>215</v>
      </c>
      <c r="I30" s="23">
        <v>230</v>
      </c>
      <c r="J30" s="23">
        <v>253</v>
      </c>
      <c r="K30" s="24">
        <v>290</v>
      </c>
    </row>
    <row r="31" spans="1:11" ht="16.2" thickBot="1" x14ac:dyDescent="0.35">
      <c r="A31" s="48"/>
      <c r="B31" s="50"/>
      <c r="C31" s="1">
        <v>134</v>
      </c>
      <c r="D31" s="1">
        <v>134</v>
      </c>
      <c r="E31" s="1">
        <v>134</v>
      </c>
      <c r="F31" s="1">
        <v>134</v>
      </c>
      <c r="G31" s="1">
        <v>190</v>
      </c>
      <c r="H31" s="1">
        <v>190</v>
      </c>
      <c r="I31" s="1">
        <v>190</v>
      </c>
      <c r="J31" s="1">
        <v>190</v>
      </c>
      <c r="K31" s="19">
        <v>190</v>
      </c>
    </row>
    <row r="32" spans="1:11" ht="15.6" x14ac:dyDescent="0.3">
      <c r="A32" s="47">
        <v>160</v>
      </c>
      <c r="B32" s="49">
        <v>180</v>
      </c>
      <c r="C32" s="23">
        <v>164</v>
      </c>
      <c r="D32" s="23">
        <v>171</v>
      </c>
      <c r="E32" s="23">
        <v>186</v>
      </c>
      <c r="F32" s="23">
        <v>209</v>
      </c>
      <c r="G32" s="23">
        <v>228</v>
      </c>
      <c r="H32" s="23">
        <v>235</v>
      </c>
      <c r="I32" s="23">
        <v>250</v>
      </c>
      <c r="J32" s="23">
        <v>273</v>
      </c>
      <c r="K32" s="24">
        <v>310</v>
      </c>
    </row>
    <row r="33" spans="1:11" ht="16.2" thickBot="1" x14ac:dyDescent="0.35">
      <c r="A33" s="48"/>
      <c r="B33" s="50"/>
      <c r="C33" s="1">
        <v>146</v>
      </c>
      <c r="D33" s="1">
        <v>146</v>
      </c>
      <c r="E33" s="1">
        <v>146</v>
      </c>
      <c r="F33" s="1">
        <v>146</v>
      </c>
      <c r="G33" s="1">
        <v>210</v>
      </c>
      <c r="H33" s="1">
        <v>210</v>
      </c>
      <c r="I33" s="1">
        <v>210</v>
      </c>
      <c r="J33" s="1">
        <v>210</v>
      </c>
      <c r="K33" s="19">
        <v>210</v>
      </c>
    </row>
    <row r="34" spans="1:11" ht="15.6" x14ac:dyDescent="0.3">
      <c r="A34" s="47">
        <v>180</v>
      </c>
      <c r="B34" s="49">
        <v>200</v>
      </c>
      <c r="C34" s="23">
        <v>186</v>
      </c>
      <c r="D34" s="23">
        <v>195</v>
      </c>
      <c r="E34" s="23">
        <v>212</v>
      </c>
      <c r="F34" s="23">
        <v>238</v>
      </c>
      <c r="G34" s="23">
        <v>256</v>
      </c>
      <c r="H34" s="23">
        <v>265</v>
      </c>
      <c r="I34" s="23">
        <v>282</v>
      </c>
      <c r="J34" s="23">
        <v>308</v>
      </c>
      <c r="K34" s="24">
        <v>351</v>
      </c>
    </row>
    <row r="35" spans="1:11" ht="16.2" thickBot="1" x14ac:dyDescent="0.35">
      <c r="A35" s="48"/>
      <c r="B35" s="50"/>
      <c r="C35" s="1">
        <v>166</v>
      </c>
      <c r="D35" s="1">
        <v>166</v>
      </c>
      <c r="E35" s="1">
        <v>166</v>
      </c>
      <c r="F35" s="1">
        <v>166</v>
      </c>
      <c r="G35" s="1">
        <v>236</v>
      </c>
      <c r="H35" s="1">
        <v>236</v>
      </c>
      <c r="I35" s="1">
        <v>236</v>
      </c>
      <c r="J35" s="1">
        <v>236</v>
      </c>
      <c r="K35" s="19">
        <v>236</v>
      </c>
    </row>
    <row r="36" spans="1:11" ht="15.6" x14ac:dyDescent="0.3">
      <c r="A36" s="47">
        <v>200</v>
      </c>
      <c r="B36" s="49">
        <v>225</v>
      </c>
      <c r="C36" s="23">
        <v>200</v>
      </c>
      <c r="D36" s="23">
        <v>209</v>
      </c>
      <c r="E36" s="23">
        <v>226</v>
      </c>
      <c r="F36" s="23">
        <v>252</v>
      </c>
      <c r="G36" s="23">
        <v>278</v>
      </c>
      <c r="H36" s="23">
        <v>287</v>
      </c>
      <c r="I36" s="23">
        <v>304</v>
      </c>
      <c r="J36" s="23">
        <v>330</v>
      </c>
      <c r="K36" s="24">
        <v>373</v>
      </c>
    </row>
    <row r="37" spans="1:11" ht="16.2" thickBot="1" x14ac:dyDescent="0.35">
      <c r="A37" s="48"/>
      <c r="B37" s="50"/>
      <c r="C37" s="1">
        <v>180</v>
      </c>
      <c r="D37" s="1">
        <v>180</v>
      </c>
      <c r="E37" s="1">
        <v>180</v>
      </c>
      <c r="F37" s="1">
        <v>180</v>
      </c>
      <c r="G37" s="1">
        <v>258</v>
      </c>
      <c r="H37" s="1">
        <v>258</v>
      </c>
      <c r="I37" s="1">
        <v>258</v>
      </c>
      <c r="J37" s="1">
        <v>258</v>
      </c>
      <c r="K37" s="19">
        <v>258</v>
      </c>
    </row>
    <row r="38" spans="1:11" ht="15.6" x14ac:dyDescent="0.3">
      <c r="A38" s="47">
        <v>225</v>
      </c>
      <c r="B38" s="49">
        <v>250</v>
      </c>
      <c r="C38" s="23">
        <v>216</v>
      </c>
      <c r="D38" s="23">
        <v>225</v>
      </c>
      <c r="E38" s="23">
        <v>242</v>
      </c>
      <c r="F38" s="23">
        <v>268</v>
      </c>
      <c r="G38" s="23">
        <v>304</v>
      </c>
      <c r="H38" s="23">
        <v>313</v>
      </c>
      <c r="I38" s="23">
        <v>330</v>
      </c>
      <c r="J38" s="23">
        <v>356</v>
      </c>
      <c r="K38" s="24">
        <v>399</v>
      </c>
    </row>
    <row r="39" spans="1:11" ht="16.2" thickBot="1" x14ac:dyDescent="0.35">
      <c r="A39" s="48"/>
      <c r="B39" s="50"/>
      <c r="C39" s="1">
        <v>196</v>
      </c>
      <c r="D39" s="1">
        <v>196</v>
      </c>
      <c r="E39" s="1">
        <v>196</v>
      </c>
      <c r="F39" s="1">
        <v>196</v>
      </c>
      <c r="G39" s="1">
        <v>284</v>
      </c>
      <c r="H39" s="1">
        <v>284</v>
      </c>
      <c r="I39" s="1">
        <v>284</v>
      </c>
      <c r="J39" s="1">
        <v>284</v>
      </c>
      <c r="K39" s="19">
        <v>284</v>
      </c>
    </row>
    <row r="40" spans="1:11" ht="15.6" x14ac:dyDescent="0.3">
      <c r="A40" s="47">
        <v>250</v>
      </c>
      <c r="B40" s="49">
        <v>280</v>
      </c>
      <c r="C40" s="23">
        <v>241</v>
      </c>
      <c r="D40" s="23">
        <v>250</v>
      </c>
      <c r="E40" s="23">
        <v>270</v>
      </c>
      <c r="F40" s="23">
        <v>299</v>
      </c>
      <c r="G40" s="23">
        <v>338</v>
      </c>
      <c r="H40" s="23">
        <v>347</v>
      </c>
      <c r="I40" s="23">
        <v>367</v>
      </c>
      <c r="J40" s="23">
        <v>396</v>
      </c>
      <c r="K40" s="24">
        <v>445</v>
      </c>
    </row>
    <row r="41" spans="1:11" ht="16.2" thickBot="1" x14ac:dyDescent="0.35">
      <c r="A41" s="48"/>
      <c r="B41" s="50"/>
      <c r="C41" s="1">
        <v>218</v>
      </c>
      <c r="D41" s="1">
        <v>218</v>
      </c>
      <c r="E41" s="1">
        <v>218</v>
      </c>
      <c r="F41" s="1">
        <v>218</v>
      </c>
      <c r="G41" s="1">
        <v>315</v>
      </c>
      <c r="H41" s="1">
        <v>315</v>
      </c>
      <c r="I41" s="1">
        <v>315</v>
      </c>
      <c r="J41" s="1">
        <v>315</v>
      </c>
      <c r="K41" s="19">
        <v>315</v>
      </c>
    </row>
    <row r="42" spans="1:11" ht="15.6" x14ac:dyDescent="0.3">
      <c r="A42" s="47">
        <v>280</v>
      </c>
      <c r="B42" s="49">
        <v>315</v>
      </c>
      <c r="C42" s="23">
        <v>263</v>
      </c>
      <c r="D42" s="23">
        <v>272</v>
      </c>
      <c r="E42" s="23">
        <v>292</v>
      </c>
      <c r="F42" s="23">
        <v>321</v>
      </c>
      <c r="G42" s="23">
        <v>373</v>
      </c>
      <c r="H42" s="23">
        <v>382</v>
      </c>
      <c r="I42" s="23">
        <v>402</v>
      </c>
      <c r="J42" s="23">
        <v>431</v>
      </c>
      <c r="K42" s="24">
        <v>480</v>
      </c>
    </row>
    <row r="43" spans="1:11" ht="16.2" thickBot="1" x14ac:dyDescent="0.35">
      <c r="A43" s="48"/>
      <c r="B43" s="50"/>
      <c r="C43" s="1">
        <v>240</v>
      </c>
      <c r="D43" s="1">
        <v>240</v>
      </c>
      <c r="E43" s="1">
        <v>240</v>
      </c>
      <c r="F43" s="1">
        <v>240</v>
      </c>
      <c r="G43" s="1">
        <v>350</v>
      </c>
      <c r="H43" s="1">
        <v>350</v>
      </c>
      <c r="I43" s="1">
        <v>350</v>
      </c>
      <c r="J43" s="1">
        <v>350</v>
      </c>
      <c r="K43" s="19">
        <v>350</v>
      </c>
    </row>
    <row r="44" spans="1:11" ht="15.6" x14ac:dyDescent="0.3">
      <c r="A44" s="47">
        <v>315</v>
      </c>
      <c r="B44" s="49">
        <v>355</v>
      </c>
      <c r="C44" s="23">
        <v>293</v>
      </c>
      <c r="D44" s="23">
        <v>304</v>
      </c>
      <c r="E44" s="23">
        <v>325</v>
      </c>
      <c r="F44" s="23">
        <v>357</v>
      </c>
      <c r="G44" s="23">
        <v>415</v>
      </c>
      <c r="H44" s="23">
        <v>426</v>
      </c>
      <c r="I44" s="23">
        <v>447</v>
      </c>
      <c r="J44" s="23">
        <v>479</v>
      </c>
      <c r="K44" s="24">
        <v>530</v>
      </c>
    </row>
    <row r="45" spans="1:11" ht="16.2" thickBot="1" x14ac:dyDescent="0.35">
      <c r="A45" s="48"/>
      <c r="B45" s="50"/>
      <c r="C45" s="1">
        <v>268</v>
      </c>
      <c r="D45" s="1">
        <v>268</v>
      </c>
      <c r="E45" s="1">
        <v>268</v>
      </c>
      <c r="F45" s="1">
        <v>268</v>
      </c>
      <c r="G45" s="1">
        <v>390</v>
      </c>
      <c r="H45" s="1">
        <v>390</v>
      </c>
      <c r="I45" s="1">
        <v>390</v>
      </c>
      <c r="J45" s="1">
        <v>390</v>
      </c>
      <c r="K45" s="19">
        <v>390</v>
      </c>
    </row>
    <row r="46" spans="1:11" ht="15.6" x14ac:dyDescent="0.3">
      <c r="A46" s="47">
        <v>355</v>
      </c>
      <c r="B46" s="49">
        <v>400</v>
      </c>
      <c r="C46" s="23">
        <v>319</v>
      </c>
      <c r="D46" s="23">
        <v>330</v>
      </c>
      <c r="E46" s="23">
        <v>351</v>
      </c>
      <c r="F46" s="23">
        <v>383</v>
      </c>
      <c r="G46" s="23">
        <v>460</v>
      </c>
      <c r="H46" s="23">
        <v>471</v>
      </c>
      <c r="I46" s="23">
        <v>492</v>
      </c>
      <c r="J46" s="23">
        <v>524</v>
      </c>
      <c r="K46" s="24">
        <v>575</v>
      </c>
    </row>
    <row r="47" spans="1:11" ht="16.2" thickBot="1" x14ac:dyDescent="0.35">
      <c r="A47" s="48"/>
      <c r="B47" s="50"/>
      <c r="C47" s="1">
        <v>294</v>
      </c>
      <c r="D47" s="1">
        <v>294</v>
      </c>
      <c r="E47" s="1">
        <v>294</v>
      </c>
      <c r="F47" s="1">
        <v>294</v>
      </c>
      <c r="G47" s="1">
        <v>435</v>
      </c>
      <c r="H47" s="1">
        <v>435</v>
      </c>
      <c r="I47" s="1">
        <v>435</v>
      </c>
      <c r="J47" s="1">
        <v>435</v>
      </c>
      <c r="K47" s="19">
        <v>435</v>
      </c>
    </row>
    <row r="48" spans="1:11" ht="15.6" x14ac:dyDescent="0.3">
      <c r="A48" s="47">
        <v>400</v>
      </c>
      <c r="B48" s="49">
        <v>450</v>
      </c>
      <c r="C48" s="23">
        <v>357</v>
      </c>
      <c r="D48" s="23">
        <v>370</v>
      </c>
      <c r="E48" s="23">
        <v>393</v>
      </c>
      <c r="F48" s="23">
        <v>427</v>
      </c>
      <c r="G48" s="23">
        <v>517</v>
      </c>
      <c r="H48" s="23">
        <v>530</v>
      </c>
      <c r="I48" s="23">
        <v>553</v>
      </c>
      <c r="J48" s="23">
        <v>587</v>
      </c>
      <c r="K48" s="24">
        <v>645</v>
      </c>
    </row>
    <row r="49" spans="1:11" ht="16.2" thickBot="1" x14ac:dyDescent="0.35">
      <c r="A49" s="48"/>
      <c r="B49" s="50"/>
      <c r="C49" s="1">
        <v>330</v>
      </c>
      <c r="D49" s="1">
        <v>330</v>
      </c>
      <c r="E49" s="1">
        <v>330</v>
      </c>
      <c r="F49" s="1">
        <v>330</v>
      </c>
      <c r="G49" s="1">
        <v>490</v>
      </c>
      <c r="H49" s="1">
        <v>490</v>
      </c>
      <c r="I49" s="1">
        <v>490</v>
      </c>
      <c r="J49" s="1">
        <v>490</v>
      </c>
      <c r="K49" s="19">
        <v>490</v>
      </c>
    </row>
    <row r="50" spans="1:11" ht="15.6" x14ac:dyDescent="0.3">
      <c r="A50" s="47">
        <v>450</v>
      </c>
      <c r="B50" s="49">
        <v>500</v>
      </c>
      <c r="C50" s="23">
        <v>387</v>
      </c>
      <c r="D50" s="23">
        <v>400</v>
      </c>
      <c r="E50" s="23">
        <v>423</v>
      </c>
      <c r="F50" s="23">
        <v>457</v>
      </c>
      <c r="G50" s="23">
        <v>567</v>
      </c>
      <c r="H50" s="23">
        <v>580</v>
      </c>
      <c r="I50" s="23">
        <v>603</v>
      </c>
      <c r="J50" s="23">
        <v>637</v>
      </c>
      <c r="K50" s="24">
        <v>695</v>
      </c>
    </row>
    <row r="51" spans="1:11" ht="16.2" thickBot="1" x14ac:dyDescent="0.35">
      <c r="A51" s="120"/>
      <c r="B51" s="121"/>
      <c r="C51" s="35">
        <v>360</v>
      </c>
      <c r="D51" s="35">
        <v>360</v>
      </c>
      <c r="E51" s="35">
        <v>360</v>
      </c>
      <c r="F51" s="35">
        <v>360</v>
      </c>
      <c r="G51" s="35">
        <v>540</v>
      </c>
      <c r="H51" s="35">
        <v>540</v>
      </c>
      <c r="I51" s="35">
        <v>540</v>
      </c>
      <c r="J51" s="35">
        <v>540</v>
      </c>
      <c r="K51" s="43">
        <v>540</v>
      </c>
    </row>
    <row r="52" spans="1:11" ht="16.2" thickTop="1" x14ac:dyDescent="0.3">
      <c r="A52" s="47">
        <v>500</v>
      </c>
      <c r="B52" s="49">
        <v>560</v>
      </c>
      <c r="C52" s="75"/>
      <c r="D52" s="23">
        <v>444</v>
      </c>
      <c r="E52" s="23">
        <v>470</v>
      </c>
      <c r="F52" s="75"/>
      <c r="G52" s="75"/>
      <c r="H52" s="23">
        <v>644</v>
      </c>
      <c r="I52" s="23">
        <v>670</v>
      </c>
      <c r="J52" s="23">
        <v>710</v>
      </c>
      <c r="K52" s="77"/>
    </row>
    <row r="53" spans="1:11" ht="16.2" thickBot="1" x14ac:dyDescent="0.35">
      <c r="A53" s="48"/>
      <c r="B53" s="50"/>
      <c r="C53" s="76"/>
      <c r="D53" s="1">
        <v>400</v>
      </c>
      <c r="E53" s="1">
        <v>400</v>
      </c>
      <c r="F53" s="76"/>
      <c r="G53" s="76"/>
      <c r="H53" s="1">
        <v>600</v>
      </c>
      <c r="I53" s="1">
        <v>600</v>
      </c>
      <c r="J53" s="1">
        <v>600</v>
      </c>
      <c r="K53" s="78"/>
    </row>
    <row r="54" spans="1:11" ht="15.6" x14ac:dyDescent="0.3">
      <c r="A54" s="47">
        <v>560</v>
      </c>
      <c r="B54" s="49">
        <v>630</v>
      </c>
      <c r="C54" s="75"/>
      <c r="D54" s="23">
        <v>494</v>
      </c>
      <c r="E54" s="23">
        <v>520</v>
      </c>
      <c r="F54" s="75"/>
      <c r="G54" s="75"/>
      <c r="H54" s="23">
        <v>704</v>
      </c>
      <c r="I54" s="23">
        <v>730</v>
      </c>
      <c r="J54" s="23">
        <v>770</v>
      </c>
      <c r="K54" s="77"/>
    </row>
    <row r="55" spans="1:11" ht="16.2" thickBot="1" x14ac:dyDescent="0.35">
      <c r="A55" s="48"/>
      <c r="B55" s="50"/>
      <c r="C55" s="76"/>
      <c r="D55" s="1">
        <v>450</v>
      </c>
      <c r="E55" s="1">
        <v>450</v>
      </c>
      <c r="F55" s="76"/>
      <c r="G55" s="76"/>
      <c r="H55" s="1">
        <v>660</v>
      </c>
      <c r="I55" s="1">
        <v>660</v>
      </c>
      <c r="J55" s="1">
        <v>660</v>
      </c>
      <c r="K55" s="78"/>
    </row>
    <row r="56" spans="1:11" ht="15.6" x14ac:dyDescent="0.3">
      <c r="A56" s="47">
        <v>630</v>
      </c>
      <c r="B56" s="49">
        <v>710</v>
      </c>
      <c r="C56" s="75"/>
      <c r="D56" s="23">
        <v>550</v>
      </c>
      <c r="E56" s="23">
        <v>580</v>
      </c>
      <c r="F56" s="75"/>
      <c r="G56" s="75"/>
      <c r="H56" s="23">
        <v>790</v>
      </c>
      <c r="I56" s="23">
        <v>820</v>
      </c>
      <c r="J56" s="23">
        <v>865</v>
      </c>
      <c r="K56" s="77"/>
    </row>
    <row r="57" spans="1:11" ht="16.2" thickBot="1" x14ac:dyDescent="0.35">
      <c r="A57" s="48"/>
      <c r="B57" s="50"/>
      <c r="C57" s="76"/>
      <c r="D57" s="1">
        <v>500</v>
      </c>
      <c r="E57" s="1">
        <v>500</v>
      </c>
      <c r="F57" s="76"/>
      <c r="G57" s="76"/>
      <c r="H57" s="1">
        <v>740</v>
      </c>
      <c r="I57" s="1">
        <v>740</v>
      </c>
      <c r="J57" s="1">
        <v>740</v>
      </c>
      <c r="K57" s="78"/>
    </row>
    <row r="58" spans="1:11" ht="15.6" x14ac:dyDescent="0.3">
      <c r="A58" s="47">
        <v>710</v>
      </c>
      <c r="B58" s="49">
        <v>800</v>
      </c>
      <c r="C58" s="75"/>
      <c r="D58" s="23">
        <v>610</v>
      </c>
      <c r="E58" s="23">
        <v>640</v>
      </c>
      <c r="F58" s="75"/>
      <c r="G58" s="75"/>
      <c r="H58" s="23">
        <v>890</v>
      </c>
      <c r="I58" s="23">
        <v>920</v>
      </c>
      <c r="J58" s="23">
        <v>965</v>
      </c>
      <c r="K58" s="77"/>
    </row>
    <row r="59" spans="1:11" ht="16.2" thickBot="1" x14ac:dyDescent="0.35">
      <c r="A59" s="48"/>
      <c r="B59" s="50"/>
      <c r="C59" s="76"/>
      <c r="D59" s="1">
        <v>560</v>
      </c>
      <c r="E59" s="1">
        <v>560</v>
      </c>
      <c r="F59" s="76"/>
      <c r="G59" s="76"/>
      <c r="H59" s="1">
        <v>840</v>
      </c>
      <c r="I59" s="1">
        <v>840</v>
      </c>
      <c r="J59" s="1">
        <v>840</v>
      </c>
      <c r="K59" s="78"/>
    </row>
    <row r="60" spans="1:11" ht="15.6" x14ac:dyDescent="0.3">
      <c r="A60" s="47">
        <v>800</v>
      </c>
      <c r="B60" s="49">
        <v>900</v>
      </c>
      <c r="C60" s="75"/>
      <c r="D60" s="23">
        <v>676</v>
      </c>
      <c r="E60" s="23">
        <v>710</v>
      </c>
      <c r="F60" s="75"/>
      <c r="G60" s="75"/>
      <c r="H60" s="23">
        <v>996</v>
      </c>
      <c r="I60" s="41">
        <v>1030</v>
      </c>
      <c r="J60" s="41">
        <v>1080</v>
      </c>
      <c r="K60" s="77"/>
    </row>
    <row r="61" spans="1:11" ht="16.2" thickBot="1" x14ac:dyDescent="0.35">
      <c r="A61" s="48"/>
      <c r="B61" s="50"/>
      <c r="C61" s="76"/>
      <c r="D61" s="1">
        <v>620</v>
      </c>
      <c r="E61" s="1">
        <v>620</v>
      </c>
      <c r="F61" s="76"/>
      <c r="G61" s="76"/>
      <c r="H61" s="1">
        <v>940</v>
      </c>
      <c r="I61" s="1">
        <v>940</v>
      </c>
      <c r="J61" s="1">
        <v>940</v>
      </c>
      <c r="K61" s="78"/>
    </row>
    <row r="62" spans="1:11" ht="15.6" x14ac:dyDescent="0.3">
      <c r="A62" s="47">
        <v>900</v>
      </c>
      <c r="B62" s="79">
        <v>1000</v>
      </c>
      <c r="C62" s="75"/>
      <c r="D62" s="23">
        <v>736</v>
      </c>
      <c r="E62" s="23">
        <v>770</v>
      </c>
      <c r="F62" s="75"/>
      <c r="G62" s="75"/>
      <c r="H62" s="41">
        <v>1106</v>
      </c>
      <c r="I62" s="41">
        <v>1140</v>
      </c>
      <c r="J62" s="41">
        <v>1190</v>
      </c>
      <c r="K62" s="77"/>
    </row>
    <row r="63" spans="1:11" ht="16.2" thickBot="1" x14ac:dyDescent="0.35">
      <c r="A63" s="48"/>
      <c r="B63" s="80"/>
      <c r="C63" s="76"/>
      <c r="D63" s="1">
        <v>680</v>
      </c>
      <c r="E63" s="1">
        <v>680</v>
      </c>
      <c r="F63" s="76"/>
      <c r="G63" s="76"/>
      <c r="H63" s="28">
        <v>1050</v>
      </c>
      <c r="I63" s="28">
        <v>1050</v>
      </c>
      <c r="J63" s="28">
        <v>1050</v>
      </c>
      <c r="K63" s="78"/>
    </row>
    <row r="64" spans="1:11" ht="15.6" x14ac:dyDescent="0.3">
      <c r="A64" s="81">
        <v>1000</v>
      </c>
      <c r="B64" s="79">
        <v>1120</v>
      </c>
      <c r="C64" s="75"/>
      <c r="D64" s="23">
        <v>846</v>
      </c>
      <c r="E64" s="23">
        <v>885</v>
      </c>
      <c r="F64" s="75"/>
      <c r="G64" s="75"/>
      <c r="H64" s="41">
        <v>1216</v>
      </c>
      <c r="I64" s="41">
        <v>1255</v>
      </c>
      <c r="J64" s="41">
        <v>1315</v>
      </c>
      <c r="K64" s="77"/>
    </row>
    <row r="65" spans="1:11" ht="16.2" thickBot="1" x14ac:dyDescent="0.35">
      <c r="A65" s="82"/>
      <c r="B65" s="80"/>
      <c r="C65" s="76"/>
      <c r="D65" s="1">
        <v>780</v>
      </c>
      <c r="E65" s="1">
        <v>780</v>
      </c>
      <c r="F65" s="76"/>
      <c r="G65" s="76"/>
      <c r="H65" s="28">
        <v>1150</v>
      </c>
      <c r="I65" s="28">
        <v>1150</v>
      </c>
      <c r="J65" s="28">
        <v>1150</v>
      </c>
      <c r="K65" s="78"/>
    </row>
    <row r="66" spans="1:11" ht="15.6" x14ac:dyDescent="0.3">
      <c r="A66" s="81">
        <v>1120</v>
      </c>
      <c r="B66" s="79">
        <v>1250</v>
      </c>
      <c r="C66" s="75"/>
      <c r="D66" s="23">
        <v>906</v>
      </c>
      <c r="E66" s="23">
        <v>945</v>
      </c>
      <c r="F66" s="75"/>
      <c r="G66" s="75"/>
      <c r="H66" s="41">
        <v>1366</v>
      </c>
      <c r="I66" s="41">
        <v>1405</v>
      </c>
      <c r="J66" s="41">
        <v>1465</v>
      </c>
      <c r="K66" s="77"/>
    </row>
    <row r="67" spans="1:11" ht="16.2" thickBot="1" x14ac:dyDescent="0.35">
      <c r="A67" s="82"/>
      <c r="B67" s="80"/>
      <c r="C67" s="76"/>
      <c r="D67" s="1">
        <v>840</v>
      </c>
      <c r="E67" s="1">
        <v>840</v>
      </c>
      <c r="F67" s="76"/>
      <c r="G67" s="76"/>
      <c r="H67" s="28">
        <v>1300</v>
      </c>
      <c r="I67" s="28">
        <v>1300</v>
      </c>
      <c r="J67" s="28">
        <v>1300</v>
      </c>
      <c r="K67" s="78"/>
    </row>
    <row r="68" spans="1:11" ht="15.6" x14ac:dyDescent="0.3">
      <c r="A68" s="81">
        <v>1250</v>
      </c>
      <c r="B68" s="79">
        <v>1400</v>
      </c>
      <c r="C68" s="75"/>
      <c r="D68" s="41">
        <v>1038</v>
      </c>
      <c r="E68" s="41">
        <v>1085</v>
      </c>
      <c r="F68" s="75"/>
      <c r="G68" s="75"/>
      <c r="H68" s="41">
        <v>1528</v>
      </c>
      <c r="I68" s="41">
        <v>1575</v>
      </c>
      <c r="J68" s="41">
        <v>1645</v>
      </c>
      <c r="K68" s="77"/>
    </row>
    <row r="69" spans="1:11" ht="16.2" thickBot="1" x14ac:dyDescent="0.35">
      <c r="A69" s="82"/>
      <c r="B69" s="80"/>
      <c r="C69" s="76"/>
      <c r="D69" s="1">
        <v>960</v>
      </c>
      <c r="E69" s="1">
        <v>960</v>
      </c>
      <c r="F69" s="76"/>
      <c r="G69" s="76"/>
      <c r="H69" s="28">
        <v>1450</v>
      </c>
      <c r="I69" s="28">
        <v>1450</v>
      </c>
      <c r="J69" s="28">
        <v>1450</v>
      </c>
      <c r="K69" s="78"/>
    </row>
    <row r="70" spans="1:11" ht="15.6" x14ac:dyDescent="0.3">
      <c r="A70" s="81">
        <v>1400</v>
      </c>
      <c r="B70" s="79">
        <v>1600</v>
      </c>
      <c r="C70" s="75"/>
      <c r="D70" s="41">
        <v>1128</v>
      </c>
      <c r="E70" s="41">
        <v>1175</v>
      </c>
      <c r="F70" s="75"/>
      <c r="G70" s="75"/>
      <c r="H70" s="41">
        <v>1678</v>
      </c>
      <c r="I70" s="41">
        <v>1725</v>
      </c>
      <c r="J70" s="41">
        <v>1795</v>
      </c>
      <c r="K70" s="77"/>
    </row>
    <row r="71" spans="1:11" ht="16.2" thickBot="1" x14ac:dyDescent="0.35">
      <c r="A71" s="82"/>
      <c r="B71" s="80"/>
      <c r="C71" s="76"/>
      <c r="D71" s="28">
        <v>1050</v>
      </c>
      <c r="E71" s="28">
        <v>1050</v>
      </c>
      <c r="F71" s="76"/>
      <c r="G71" s="76"/>
      <c r="H71" s="28">
        <v>1600</v>
      </c>
      <c r="I71" s="28">
        <v>1600</v>
      </c>
      <c r="J71" s="28">
        <v>1600</v>
      </c>
      <c r="K71" s="78"/>
    </row>
    <row r="72" spans="1:11" ht="15.6" x14ac:dyDescent="0.3">
      <c r="A72" s="81">
        <v>1600</v>
      </c>
      <c r="B72" s="79">
        <v>1800</v>
      </c>
      <c r="C72" s="75"/>
      <c r="D72" s="41">
        <v>1292</v>
      </c>
      <c r="E72" s="41">
        <v>1350</v>
      </c>
      <c r="F72" s="75"/>
      <c r="G72" s="75"/>
      <c r="H72" s="41">
        <v>1942</v>
      </c>
      <c r="I72" s="41">
        <v>2000</v>
      </c>
      <c r="J72" s="41">
        <v>2080</v>
      </c>
      <c r="K72" s="77"/>
    </row>
    <row r="73" spans="1:11" ht="16.2" thickBot="1" x14ac:dyDescent="0.35">
      <c r="A73" s="82"/>
      <c r="B73" s="80"/>
      <c r="C73" s="76"/>
      <c r="D73" s="28">
        <v>1200</v>
      </c>
      <c r="E73" s="28">
        <v>1200</v>
      </c>
      <c r="F73" s="76"/>
      <c r="G73" s="76"/>
      <c r="H73" s="28">
        <v>1850</v>
      </c>
      <c r="I73" s="28">
        <v>1850</v>
      </c>
      <c r="J73" s="28">
        <v>1850</v>
      </c>
      <c r="K73" s="78"/>
    </row>
    <row r="74" spans="1:11" ht="15.6" x14ac:dyDescent="0.3">
      <c r="A74" s="81">
        <v>1800</v>
      </c>
      <c r="B74" s="79">
        <v>2000</v>
      </c>
      <c r="C74" s="75"/>
      <c r="D74" s="41">
        <v>1442</v>
      </c>
      <c r="E74" s="41">
        <v>1500</v>
      </c>
      <c r="F74" s="75"/>
      <c r="G74" s="75"/>
      <c r="H74" s="41">
        <v>2092</v>
      </c>
      <c r="I74" s="41">
        <v>2150</v>
      </c>
      <c r="J74" s="41">
        <v>2230</v>
      </c>
      <c r="K74" s="77"/>
    </row>
    <row r="75" spans="1:11" ht="16.2" thickBot="1" x14ac:dyDescent="0.35">
      <c r="A75" s="82"/>
      <c r="B75" s="80"/>
      <c r="C75" s="76"/>
      <c r="D75" s="28">
        <v>1350</v>
      </c>
      <c r="E75" s="28">
        <v>1350</v>
      </c>
      <c r="F75" s="76"/>
      <c r="G75" s="76"/>
      <c r="H75" s="28">
        <v>2000</v>
      </c>
      <c r="I75" s="28">
        <v>2000</v>
      </c>
      <c r="J75" s="28">
        <v>2000</v>
      </c>
      <c r="K75" s="78"/>
    </row>
    <row r="76" spans="1:11" ht="15.6" x14ac:dyDescent="0.3">
      <c r="A76" s="81">
        <v>2000</v>
      </c>
      <c r="B76" s="79">
        <v>2240</v>
      </c>
      <c r="C76" s="75"/>
      <c r="D76" s="41">
        <v>1610</v>
      </c>
      <c r="E76" s="41">
        <v>1675</v>
      </c>
      <c r="F76" s="75"/>
      <c r="G76" s="75"/>
      <c r="H76" s="41">
        <v>2410</v>
      </c>
      <c r="I76" s="41">
        <v>2475</v>
      </c>
      <c r="J76" s="41">
        <v>2580</v>
      </c>
      <c r="K76" s="77"/>
    </row>
    <row r="77" spans="1:11" ht="16.2" thickBot="1" x14ac:dyDescent="0.35">
      <c r="A77" s="82"/>
      <c r="B77" s="80"/>
      <c r="C77" s="76"/>
      <c r="D77" s="28">
        <v>1500</v>
      </c>
      <c r="E77" s="28">
        <v>1500</v>
      </c>
      <c r="F77" s="76"/>
      <c r="G77" s="76"/>
      <c r="H77" s="28">
        <v>2300</v>
      </c>
      <c r="I77" s="28">
        <v>2300</v>
      </c>
      <c r="J77" s="28">
        <v>2300</v>
      </c>
      <c r="K77" s="78"/>
    </row>
    <row r="78" spans="1:11" ht="15.6" x14ac:dyDescent="0.3">
      <c r="A78" s="81">
        <v>2240</v>
      </c>
      <c r="B78" s="79">
        <v>2500</v>
      </c>
      <c r="C78" s="75"/>
      <c r="D78" s="41">
        <v>1760</v>
      </c>
      <c r="E78" s="41">
        <v>1825</v>
      </c>
      <c r="F78" s="75"/>
      <c r="G78" s="75"/>
      <c r="H78" s="41">
        <v>2610</v>
      </c>
      <c r="I78" s="41">
        <v>2675</v>
      </c>
      <c r="J78" s="41">
        <v>2780</v>
      </c>
      <c r="K78" s="77"/>
    </row>
    <row r="79" spans="1:11" ht="16.2" thickBot="1" x14ac:dyDescent="0.35">
      <c r="A79" s="82"/>
      <c r="B79" s="80"/>
      <c r="C79" s="76"/>
      <c r="D79" s="28">
        <v>1650</v>
      </c>
      <c r="E79" s="28">
        <v>1650</v>
      </c>
      <c r="F79" s="76"/>
      <c r="G79" s="76"/>
      <c r="H79" s="28">
        <v>2500</v>
      </c>
      <c r="I79" s="28">
        <v>2500</v>
      </c>
      <c r="J79" s="28">
        <v>2500</v>
      </c>
      <c r="K79" s="78"/>
    </row>
    <row r="80" spans="1:11" ht="15.6" x14ac:dyDescent="0.3">
      <c r="A80" s="81">
        <v>2500</v>
      </c>
      <c r="B80" s="79">
        <v>2800</v>
      </c>
      <c r="C80" s="75"/>
      <c r="D80" s="41">
        <v>2035</v>
      </c>
      <c r="E80" s="41">
        <v>2110</v>
      </c>
      <c r="F80" s="75"/>
      <c r="G80" s="75"/>
      <c r="H80" s="41">
        <v>3035</v>
      </c>
      <c r="I80" s="41">
        <v>3110</v>
      </c>
      <c r="J80" s="41">
        <v>3230</v>
      </c>
      <c r="K80" s="77"/>
    </row>
    <row r="81" spans="1:11" ht="16.2" thickBot="1" x14ac:dyDescent="0.35">
      <c r="A81" s="82"/>
      <c r="B81" s="80"/>
      <c r="C81" s="76"/>
      <c r="D81" s="28">
        <v>1900</v>
      </c>
      <c r="E81" s="28">
        <v>1900</v>
      </c>
      <c r="F81" s="76"/>
      <c r="G81" s="76"/>
      <c r="H81" s="28">
        <v>2900</v>
      </c>
      <c r="I81" s="28">
        <v>2900</v>
      </c>
      <c r="J81" s="28">
        <v>2900</v>
      </c>
      <c r="K81" s="78"/>
    </row>
    <row r="82" spans="1:11" ht="15.6" x14ac:dyDescent="0.3">
      <c r="A82" s="81">
        <v>2800</v>
      </c>
      <c r="B82" s="79">
        <v>3150</v>
      </c>
      <c r="C82" s="75"/>
      <c r="D82" s="41">
        <v>2235</v>
      </c>
      <c r="E82" s="41">
        <v>2310</v>
      </c>
      <c r="F82" s="75"/>
      <c r="G82" s="75"/>
      <c r="H82" s="41">
        <v>3335</v>
      </c>
      <c r="I82" s="41">
        <v>3410</v>
      </c>
      <c r="J82" s="41">
        <v>3530</v>
      </c>
      <c r="K82" s="77"/>
    </row>
    <row r="83" spans="1:11" ht="16.2" thickBot="1" x14ac:dyDescent="0.35">
      <c r="A83" s="82"/>
      <c r="B83" s="80"/>
      <c r="C83" s="76"/>
      <c r="D83" s="28">
        <v>2100</v>
      </c>
      <c r="E83" s="28">
        <v>2100</v>
      </c>
      <c r="F83" s="76"/>
      <c r="G83" s="76"/>
      <c r="H83" s="28">
        <v>3200</v>
      </c>
      <c r="I83" s="28">
        <v>3200</v>
      </c>
      <c r="J83" s="28">
        <v>3200</v>
      </c>
      <c r="K83" s="78"/>
    </row>
    <row r="84" spans="1:11" ht="16.2" thickBot="1" x14ac:dyDescent="0.35">
      <c r="A84" s="83" t="s">
        <v>41</v>
      </c>
      <c r="B84" s="84"/>
      <c r="C84" s="84"/>
      <c r="D84" s="84"/>
      <c r="E84" s="84"/>
      <c r="F84" s="84"/>
      <c r="G84" s="84"/>
      <c r="H84" s="84"/>
      <c r="I84" s="84"/>
      <c r="J84" s="84"/>
      <c r="K84" s="85"/>
    </row>
    <row r="85" spans="1:11" ht="15.6" thickTop="1" x14ac:dyDescent="0.3"/>
  </sheetData>
  <mergeCells count="169">
    <mergeCell ref="A84:K84"/>
    <mergeCell ref="A62:A63"/>
    <mergeCell ref="B62:B63"/>
    <mergeCell ref="A74:A75"/>
    <mergeCell ref="B74:B75"/>
    <mergeCell ref="A82:A83"/>
    <mergeCell ref="B82:B83"/>
    <mergeCell ref="C82:C83"/>
    <mergeCell ref="F82:F83"/>
    <mergeCell ref="G82:G83"/>
    <mergeCell ref="K82:K83"/>
    <mergeCell ref="A80:A81"/>
    <mergeCell ref="B80:B81"/>
    <mergeCell ref="C80:C81"/>
    <mergeCell ref="F80:F81"/>
    <mergeCell ref="G80:G81"/>
    <mergeCell ref="K80:K81"/>
    <mergeCell ref="A78:A79"/>
    <mergeCell ref="B78:B79"/>
    <mergeCell ref="C78:C79"/>
    <mergeCell ref="F78:F79"/>
    <mergeCell ref="G78:G79"/>
    <mergeCell ref="K78:K79"/>
    <mergeCell ref="C74:C75"/>
    <mergeCell ref="F74:F75"/>
    <mergeCell ref="G74:G75"/>
    <mergeCell ref="K74:K75"/>
    <mergeCell ref="A76:A77"/>
    <mergeCell ref="B76:B77"/>
    <mergeCell ref="C76:C77"/>
    <mergeCell ref="F76:F77"/>
    <mergeCell ref="G76:G77"/>
    <mergeCell ref="K76:K77"/>
    <mergeCell ref="A72:A73"/>
    <mergeCell ref="B72:B73"/>
    <mergeCell ref="C72:C73"/>
    <mergeCell ref="F72:F73"/>
    <mergeCell ref="G72:G73"/>
    <mergeCell ref="K72:K73"/>
    <mergeCell ref="A70:A71"/>
    <mergeCell ref="B70:B71"/>
    <mergeCell ref="C70:C71"/>
    <mergeCell ref="F70:F71"/>
    <mergeCell ref="G70:G71"/>
    <mergeCell ref="K70:K71"/>
    <mergeCell ref="A68:A69"/>
    <mergeCell ref="B68:B69"/>
    <mergeCell ref="C68:C69"/>
    <mergeCell ref="F68:F69"/>
    <mergeCell ref="G68:G69"/>
    <mergeCell ref="K68:K69"/>
    <mergeCell ref="A66:A67"/>
    <mergeCell ref="B66:B67"/>
    <mergeCell ref="C66:C67"/>
    <mergeCell ref="F66:F67"/>
    <mergeCell ref="G66:G67"/>
    <mergeCell ref="K66:K67"/>
    <mergeCell ref="C62:C63"/>
    <mergeCell ref="F62:F63"/>
    <mergeCell ref="G62:G63"/>
    <mergeCell ref="K62:K63"/>
    <mergeCell ref="A64:A65"/>
    <mergeCell ref="B64:B65"/>
    <mergeCell ref="C64:C65"/>
    <mergeCell ref="F64:F65"/>
    <mergeCell ref="G64:G65"/>
    <mergeCell ref="K64:K65"/>
    <mergeCell ref="A60:A61"/>
    <mergeCell ref="B60:B61"/>
    <mergeCell ref="C60:C61"/>
    <mergeCell ref="F60:F61"/>
    <mergeCell ref="G60:G61"/>
    <mergeCell ref="K60:K61"/>
    <mergeCell ref="A58:A59"/>
    <mergeCell ref="B58:B59"/>
    <mergeCell ref="C58:C59"/>
    <mergeCell ref="F58:F59"/>
    <mergeCell ref="G58:G59"/>
    <mergeCell ref="K58:K59"/>
    <mergeCell ref="A56:A57"/>
    <mergeCell ref="B56:B57"/>
    <mergeCell ref="C56:C57"/>
    <mergeCell ref="F56:F57"/>
    <mergeCell ref="G56:G57"/>
    <mergeCell ref="K56:K57"/>
    <mergeCell ref="A54:A55"/>
    <mergeCell ref="B54:B55"/>
    <mergeCell ref="C54:C55"/>
    <mergeCell ref="F54:F55"/>
    <mergeCell ref="G54:G55"/>
    <mergeCell ref="K54:K55"/>
    <mergeCell ref="A52:A53"/>
    <mergeCell ref="B52:B53"/>
    <mergeCell ref="C52:C53"/>
    <mergeCell ref="F52:F53"/>
    <mergeCell ref="G52:G53"/>
    <mergeCell ref="K52:K53"/>
    <mergeCell ref="A50:A51"/>
    <mergeCell ref="B50:B51"/>
    <mergeCell ref="C1:F2"/>
    <mergeCell ref="A44:A45"/>
    <mergeCell ref="B44:B45"/>
    <mergeCell ref="A46:A47"/>
    <mergeCell ref="B46:B47"/>
    <mergeCell ref="A48:A49"/>
    <mergeCell ref="B48:B49"/>
    <mergeCell ref="A38:A39"/>
    <mergeCell ref="B38:B39"/>
    <mergeCell ref="A40:A41"/>
    <mergeCell ref="B40:B41"/>
    <mergeCell ref="A42:A43"/>
    <mergeCell ref="B42:B43"/>
    <mergeCell ref="A32:A33"/>
    <mergeCell ref="B32:B33"/>
    <mergeCell ref="A34:A35"/>
    <mergeCell ref="B34:B35"/>
    <mergeCell ref="A36:A37"/>
    <mergeCell ref="B36:B37"/>
    <mergeCell ref="A26:A27"/>
    <mergeCell ref="B26:B27"/>
    <mergeCell ref="A28:A29"/>
    <mergeCell ref="B28:B29"/>
    <mergeCell ref="A30:A31"/>
    <mergeCell ref="B30:B31"/>
    <mergeCell ref="A20:A21"/>
    <mergeCell ref="B20:B21"/>
    <mergeCell ref="A22:A23"/>
    <mergeCell ref="B22:B23"/>
    <mergeCell ref="A24:A25"/>
    <mergeCell ref="B24:B25"/>
    <mergeCell ref="A14:A15"/>
    <mergeCell ref="B14:B15"/>
    <mergeCell ref="A16:A17"/>
    <mergeCell ref="B16:B17"/>
    <mergeCell ref="A18:A19"/>
    <mergeCell ref="B18:B19"/>
    <mergeCell ref="A12:A13"/>
    <mergeCell ref="B12:B13"/>
    <mergeCell ref="C12:C13"/>
    <mergeCell ref="D12:D13"/>
    <mergeCell ref="E12:E13"/>
    <mergeCell ref="F12:F13"/>
    <mergeCell ref="A10:A11"/>
    <mergeCell ref="B10:B11"/>
    <mergeCell ref="C10:C11"/>
    <mergeCell ref="D10:D11"/>
    <mergeCell ref="E10:E11"/>
    <mergeCell ref="F10:F11"/>
    <mergeCell ref="A1:B1"/>
    <mergeCell ref="A2:B2"/>
    <mergeCell ref="G1:K2"/>
    <mergeCell ref="A4:A5"/>
    <mergeCell ref="B4:B5"/>
    <mergeCell ref="C4:C5"/>
    <mergeCell ref="D4:D5"/>
    <mergeCell ref="E4:E5"/>
    <mergeCell ref="A8:A9"/>
    <mergeCell ref="B8:B9"/>
    <mergeCell ref="C8:C9"/>
    <mergeCell ref="D8:D9"/>
    <mergeCell ref="E8:E9"/>
    <mergeCell ref="F8:F9"/>
    <mergeCell ref="F4:F5"/>
    <mergeCell ref="A6:A7"/>
    <mergeCell ref="B6:B7"/>
    <mergeCell ref="C6:C7"/>
    <mergeCell ref="D6:D7"/>
    <mergeCell ref="E6:E7"/>
    <mergeCell ref="F6:F7"/>
  </mergeCells>
  <phoneticPr fontId="7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78099-F5D9-41FB-B06C-D4B91F50CDD6}">
  <dimension ref="A1:Q56"/>
  <sheetViews>
    <sheetView topLeftCell="A34" workbookViewId="0">
      <selection activeCell="A56" sqref="A56:Q56"/>
    </sheetView>
  </sheetViews>
  <sheetFormatPr defaultRowHeight="15" x14ac:dyDescent="0.3"/>
  <sheetData>
    <row r="1" spans="1:17" ht="16.2" thickTop="1" x14ac:dyDescent="0.3">
      <c r="A1" s="65" t="s">
        <v>0</v>
      </c>
      <c r="B1" s="66"/>
      <c r="C1" s="51" t="s">
        <v>43</v>
      </c>
      <c r="D1" s="52"/>
      <c r="E1" s="52"/>
      <c r="F1" s="63"/>
      <c r="G1" s="51" t="s">
        <v>42</v>
      </c>
      <c r="H1" s="52"/>
      <c r="I1" s="52"/>
      <c r="J1" s="52"/>
      <c r="K1" s="52"/>
      <c r="L1" s="63"/>
      <c r="M1" s="51" t="s">
        <v>44</v>
      </c>
      <c r="N1" s="52"/>
      <c r="O1" s="52"/>
      <c r="P1" s="52"/>
      <c r="Q1" s="53"/>
    </row>
    <row r="2" spans="1:17" ht="16.2" thickBot="1" x14ac:dyDescent="0.35">
      <c r="A2" s="61" t="s">
        <v>1</v>
      </c>
      <c r="B2" s="62"/>
      <c r="C2" s="54"/>
      <c r="D2" s="55"/>
      <c r="E2" s="55"/>
      <c r="F2" s="64"/>
      <c r="G2" s="54"/>
      <c r="H2" s="55"/>
      <c r="I2" s="55"/>
      <c r="J2" s="55"/>
      <c r="K2" s="55"/>
      <c r="L2" s="64"/>
      <c r="M2" s="54"/>
      <c r="N2" s="55"/>
      <c r="O2" s="55"/>
      <c r="P2" s="55"/>
      <c r="Q2" s="56"/>
    </row>
    <row r="3" spans="1:17" ht="16.2" thickBot="1" x14ac:dyDescent="0.35">
      <c r="A3" s="21" t="s">
        <v>3</v>
      </c>
      <c r="B3" s="20" t="s">
        <v>4</v>
      </c>
      <c r="C3" s="2">
        <v>5</v>
      </c>
      <c r="D3" s="2">
        <v>6</v>
      </c>
      <c r="E3" s="2">
        <v>7</v>
      </c>
      <c r="F3" s="2">
        <v>8</v>
      </c>
      <c r="G3" s="2">
        <v>5</v>
      </c>
      <c r="H3" s="2">
        <v>6</v>
      </c>
      <c r="I3" s="2">
        <v>7</v>
      </c>
      <c r="J3" s="2">
        <v>8</v>
      </c>
      <c r="K3" s="2">
        <v>9</v>
      </c>
      <c r="L3" s="2">
        <v>10</v>
      </c>
      <c r="M3" s="2">
        <v>6</v>
      </c>
      <c r="N3" s="2">
        <v>7</v>
      </c>
      <c r="O3" s="2">
        <v>8</v>
      </c>
      <c r="P3" s="2">
        <v>9</v>
      </c>
      <c r="Q3" s="3">
        <v>10</v>
      </c>
    </row>
    <row r="4" spans="1:17" ht="15.6" x14ac:dyDescent="0.3">
      <c r="A4" s="73" t="s">
        <v>5</v>
      </c>
      <c r="B4" s="49">
        <v>3</v>
      </c>
      <c r="C4" s="75"/>
      <c r="D4" s="75"/>
      <c r="E4" s="75"/>
      <c r="F4" s="75"/>
      <c r="G4" s="23">
        <v>24</v>
      </c>
      <c r="H4" s="23">
        <v>26</v>
      </c>
      <c r="I4" s="23">
        <v>30</v>
      </c>
      <c r="J4" s="23">
        <v>34</v>
      </c>
      <c r="K4" s="23">
        <v>45</v>
      </c>
      <c r="L4" s="23">
        <v>60</v>
      </c>
      <c r="M4" s="75"/>
      <c r="N4" s="75"/>
      <c r="O4" s="75"/>
      <c r="P4" s="75"/>
      <c r="Q4" s="77"/>
    </row>
    <row r="5" spans="1:17" ht="16.2" thickBot="1" x14ac:dyDescent="0.35">
      <c r="A5" s="74"/>
      <c r="B5" s="50"/>
      <c r="C5" s="76"/>
      <c r="D5" s="76"/>
      <c r="E5" s="76"/>
      <c r="F5" s="76"/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76"/>
      <c r="N5" s="76"/>
      <c r="O5" s="76"/>
      <c r="P5" s="76"/>
      <c r="Q5" s="78"/>
    </row>
    <row r="6" spans="1:17" ht="15.6" x14ac:dyDescent="0.3">
      <c r="A6" s="47">
        <v>3</v>
      </c>
      <c r="B6" s="49">
        <v>6</v>
      </c>
      <c r="C6" s="75"/>
      <c r="D6" s="75"/>
      <c r="E6" s="75"/>
      <c r="F6" s="75"/>
      <c r="G6" s="23">
        <v>33</v>
      </c>
      <c r="H6" s="23">
        <v>36</v>
      </c>
      <c r="I6" s="23">
        <v>40</v>
      </c>
      <c r="J6" s="23">
        <v>46</v>
      </c>
      <c r="K6" s="23">
        <v>58</v>
      </c>
      <c r="L6" s="23">
        <v>76</v>
      </c>
      <c r="M6" s="75"/>
      <c r="N6" s="75"/>
      <c r="O6" s="75"/>
      <c r="P6" s="75"/>
      <c r="Q6" s="77"/>
    </row>
    <row r="7" spans="1:17" ht="16.2" thickBot="1" x14ac:dyDescent="0.35">
      <c r="A7" s="48"/>
      <c r="B7" s="50"/>
      <c r="C7" s="76"/>
      <c r="D7" s="76"/>
      <c r="E7" s="76"/>
      <c r="F7" s="76"/>
      <c r="G7" s="1">
        <v>28</v>
      </c>
      <c r="H7" s="1">
        <v>28</v>
      </c>
      <c r="I7" s="1">
        <v>28</v>
      </c>
      <c r="J7" s="1">
        <v>28</v>
      </c>
      <c r="K7" s="1">
        <v>28</v>
      </c>
      <c r="L7" s="1">
        <v>28</v>
      </c>
      <c r="M7" s="76"/>
      <c r="N7" s="76"/>
      <c r="O7" s="76"/>
      <c r="P7" s="76"/>
      <c r="Q7" s="78"/>
    </row>
    <row r="8" spans="1:17" ht="15.6" x14ac:dyDescent="0.3">
      <c r="A8" s="47">
        <v>6</v>
      </c>
      <c r="B8" s="49">
        <v>10</v>
      </c>
      <c r="C8" s="75"/>
      <c r="D8" s="75"/>
      <c r="E8" s="75"/>
      <c r="F8" s="75"/>
      <c r="G8" s="23">
        <v>40</v>
      </c>
      <c r="H8" s="23">
        <v>43</v>
      </c>
      <c r="I8" s="23">
        <v>49</v>
      </c>
      <c r="J8" s="23">
        <v>56</v>
      </c>
      <c r="K8" s="23">
        <v>70</v>
      </c>
      <c r="L8" s="23">
        <v>92</v>
      </c>
      <c r="M8" s="75"/>
      <c r="N8" s="75"/>
      <c r="O8" s="75"/>
      <c r="P8" s="75"/>
      <c r="Q8" s="77"/>
    </row>
    <row r="9" spans="1:17" ht="16.2" thickBot="1" x14ac:dyDescent="0.35">
      <c r="A9" s="48"/>
      <c r="B9" s="50"/>
      <c r="C9" s="76"/>
      <c r="D9" s="76"/>
      <c r="E9" s="76"/>
      <c r="F9" s="76"/>
      <c r="G9" s="1">
        <v>34</v>
      </c>
      <c r="H9" s="1">
        <v>34</v>
      </c>
      <c r="I9" s="1">
        <v>34</v>
      </c>
      <c r="J9" s="1">
        <v>34</v>
      </c>
      <c r="K9" s="1">
        <v>34</v>
      </c>
      <c r="L9" s="1">
        <v>34</v>
      </c>
      <c r="M9" s="76"/>
      <c r="N9" s="76"/>
      <c r="O9" s="76"/>
      <c r="P9" s="76"/>
      <c r="Q9" s="78"/>
    </row>
    <row r="10" spans="1:17" ht="15.6" x14ac:dyDescent="0.3">
      <c r="A10" s="47">
        <v>10</v>
      </c>
      <c r="B10" s="49">
        <v>14</v>
      </c>
      <c r="C10" s="75"/>
      <c r="D10" s="75"/>
      <c r="E10" s="75"/>
      <c r="F10" s="75"/>
      <c r="G10" s="23">
        <v>48</v>
      </c>
      <c r="H10" s="23">
        <v>51</v>
      </c>
      <c r="I10" s="23">
        <v>58</v>
      </c>
      <c r="J10" s="23">
        <v>67</v>
      </c>
      <c r="K10" s="23">
        <v>83</v>
      </c>
      <c r="L10" s="23">
        <v>110</v>
      </c>
      <c r="M10" s="75"/>
      <c r="N10" s="75"/>
      <c r="O10" s="75"/>
      <c r="P10" s="75"/>
      <c r="Q10" s="77"/>
    </row>
    <row r="11" spans="1:17" ht="16.2" thickBot="1" x14ac:dyDescent="0.35">
      <c r="A11" s="48"/>
      <c r="B11" s="50"/>
      <c r="C11" s="76"/>
      <c r="D11" s="76"/>
      <c r="E11" s="76"/>
      <c r="F11" s="76"/>
      <c r="G11" s="1">
        <v>40</v>
      </c>
      <c r="H11" s="1">
        <v>40</v>
      </c>
      <c r="I11" s="1">
        <v>40</v>
      </c>
      <c r="J11" s="1">
        <v>40</v>
      </c>
      <c r="K11" s="1">
        <v>40</v>
      </c>
      <c r="L11" s="1">
        <v>40</v>
      </c>
      <c r="M11" s="76"/>
      <c r="N11" s="76"/>
      <c r="O11" s="76"/>
      <c r="P11" s="76"/>
      <c r="Q11" s="78"/>
    </row>
    <row r="12" spans="1:17" ht="15.6" x14ac:dyDescent="0.3">
      <c r="A12" s="47">
        <v>14</v>
      </c>
      <c r="B12" s="49">
        <v>18</v>
      </c>
      <c r="C12" s="23">
        <v>47</v>
      </c>
      <c r="D12" s="23">
        <v>50</v>
      </c>
      <c r="E12" s="23">
        <v>57</v>
      </c>
      <c r="F12" s="23">
        <v>66</v>
      </c>
      <c r="G12" s="23">
        <v>53</v>
      </c>
      <c r="H12" s="23">
        <v>56</v>
      </c>
      <c r="I12" s="23">
        <v>63</v>
      </c>
      <c r="J12" s="23">
        <v>72</v>
      </c>
      <c r="K12" s="23">
        <v>88</v>
      </c>
      <c r="L12" s="23">
        <v>115</v>
      </c>
      <c r="M12" s="75"/>
      <c r="N12" s="75"/>
      <c r="O12" s="75"/>
      <c r="P12" s="75"/>
      <c r="Q12" s="77"/>
    </row>
    <row r="13" spans="1:17" ht="16.2" thickBot="1" x14ac:dyDescent="0.35">
      <c r="A13" s="48"/>
      <c r="B13" s="50"/>
      <c r="C13" s="1">
        <v>39</v>
      </c>
      <c r="D13" s="1">
        <v>39</v>
      </c>
      <c r="E13" s="1">
        <v>39</v>
      </c>
      <c r="F13" s="1">
        <v>39</v>
      </c>
      <c r="G13" s="1">
        <v>45</v>
      </c>
      <c r="H13" s="1">
        <v>45</v>
      </c>
      <c r="I13" s="1">
        <v>45</v>
      </c>
      <c r="J13" s="1">
        <v>45</v>
      </c>
      <c r="K13" s="1">
        <v>45</v>
      </c>
      <c r="L13" s="1">
        <v>45</v>
      </c>
      <c r="M13" s="76"/>
      <c r="N13" s="76"/>
      <c r="O13" s="76"/>
      <c r="P13" s="76"/>
      <c r="Q13" s="78"/>
    </row>
    <row r="14" spans="1:17" ht="15.6" x14ac:dyDescent="0.3">
      <c r="A14" s="47">
        <v>18</v>
      </c>
      <c r="B14" s="49">
        <v>24</v>
      </c>
      <c r="C14" s="23">
        <v>56</v>
      </c>
      <c r="D14" s="23">
        <v>60</v>
      </c>
      <c r="E14" s="23">
        <v>68</v>
      </c>
      <c r="F14" s="23">
        <v>80</v>
      </c>
      <c r="G14" s="23">
        <v>63</v>
      </c>
      <c r="H14" s="23">
        <v>67</v>
      </c>
      <c r="I14" s="23">
        <v>75</v>
      </c>
      <c r="J14" s="23">
        <v>87</v>
      </c>
      <c r="K14" s="23">
        <v>106</v>
      </c>
      <c r="L14" s="23">
        <v>138</v>
      </c>
      <c r="M14" s="23">
        <v>76</v>
      </c>
      <c r="N14" s="23">
        <v>84</v>
      </c>
      <c r="O14" s="23">
        <v>96</v>
      </c>
      <c r="P14" s="23">
        <v>115</v>
      </c>
      <c r="Q14" s="24">
        <v>147</v>
      </c>
    </row>
    <row r="15" spans="1:17" ht="16.2" thickBot="1" x14ac:dyDescent="0.35">
      <c r="A15" s="48"/>
      <c r="B15" s="50"/>
      <c r="C15" s="1">
        <v>47</v>
      </c>
      <c r="D15" s="1">
        <v>47</v>
      </c>
      <c r="E15" s="1">
        <v>47</v>
      </c>
      <c r="F15" s="1">
        <v>47</v>
      </c>
      <c r="G15" s="1">
        <v>54</v>
      </c>
      <c r="H15" s="1">
        <v>54</v>
      </c>
      <c r="I15" s="1">
        <v>54</v>
      </c>
      <c r="J15" s="1">
        <v>54</v>
      </c>
      <c r="K15" s="1">
        <v>54</v>
      </c>
      <c r="L15" s="1">
        <v>54</v>
      </c>
      <c r="M15" s="1">
        <v>63</v>
      </c>
      <c r="N15" s="1">
        <v>63</v>
      </c>
      <c r="O15" s="1">
        <v>63</v>
      </c>
      <c r="P15" s="1">
        <v>63</v>
      </c>
      <c r="Q15" s="19">
        <v>63</v>
      </c>
    </row>
    <row r="16" spans="1:17" ht="15.6" x14ac:dyDescent="0.3">
      <c r="A16" s="47">
        <v>24</v>
      </c>
      <c r="B16" s="49">
        <v>30</v>
      </c>
      <c r="C16" s="23">
        <v>64</v>
      </c>
      <c r="D16" s="23">
        <v>68</v>
      </c>
      <c r="E16" s="23">
        <v>76</v>
      </c>
      <c r="F16" s="23">
        <v>88</v>
      </c>
      <c r="G16" s="23">
        <v>73</v>
      </c>
      <c r="H16" s="23">
        <v>77</v>
      </c>
      <c r="I16" s="23">
        <v>85</v>
      </c>
      <c r="J16" s="23">
        <v>97</v>
      </c>
      <c r="K16" s="23">
        <v>116</v>
      </c>
      <c r="L16" s="23">
        <v>148</v>
      </c>
      <c r="M16" s="23">
        <v>88</v>
      </c>
      <c r="N16" s="23">
        <v>96</v>
      </c>
      <c r="O16" s="23">
        <v>108</v>
      </c>
      <c r="P16" s="23">
        <v>127</v>
      </c>
      <c r="Q16" s="24">
        <v>159</v>
      </c>
    </row>
    <row r="17" spans="1:17" ht="16.2" thickBot="1" x14ac:dyDescent="0.35">
      <c r="A17" s="48"/>
      <c r="B17" s="50"/>
      <c r="C17" s="1">
        <v>55</v>
      </c>
      <c r="D17" s="1">
        <v>55</v>
      </c>
      <c r="E17" s="1">
        <v>55</v>
      </c>
      <c r="F17" s="1">
        <v>55</v>
      </c>
      <c r="G17" s="1">
        <v>64</v>
      </c>
      <c r="H17" s="1">
        <v>64</v>
      </c>
      <c r="I17" s="1">
        <v>64</v>
      </c>
      <c r="J17" s="1">
        <v>64</v>
      </c>
      <c r="K17" s="1">
        <v>64</v>
      </c>
      <c r="L17" s="1">
        <v>64</v>
      </c>
      <c r="M17" s="1">
        <v>75</v>
      </c>
      <c r="N17" s="1">
        <v>75</v>
      </c>
      <c r="O17" s="1">
        <v>75</v>
      </c>
      <c r="P17" s="1">
        <v>75</v>
      </c>
      <c r="Q17" s="19">
        <v>75</v>
      </c>
    </row>
    <row r="18" spans="1:17" ht="15.6" x14ac:dyDescent="0.3">
      <c r="A18" s="47">
        <v>30</v>
      </c>
      <c r="B18" s="49">
        <v>40</v>
      </c>
      <c r="C18" s="23">
        <v>79</v>
      </c>
      <c r="D18" s="23">
        <v>84</v>
      </c>
      <c r="E18" s="23">
        <v>93</v>
      </c>
      <c r="F18" s="23">
        <v>107</v>
      </c>
      <c r="G18" s="23">
        <v>91</v>
      </c>
      <c r="H18" s="23">
        <v>96</v>
      </c>
      <c r="I18" s="23">
        <v>105</v>
      </c>
      <c r="J18" s="23">
        <v>119</v>
      </c>
      <c r="K18" s="23">
        <v>142</v>
      </c>
      <c r="L18" s="23">
        <v>180</v>
      </c>
      <c r="M18" s="23">
        <v>110</v>
      </c>
      <c r="N18" s="23">
        <v>119</v>
      </c>
      <c r="O18" s="23">
        <v>133</v>
      </c>
      <c r="P18" s="23">
        <v>156</v>
      </c>
      <c r="Q18" s="24">
        <v>194</v>
      </c>
    </row>
    <row r="19" spans="1:17" ht="16.2" thickBot="1" x14ac:dyDescent="0.35">
      <c r="A19" s="48"/>
      <c r="B19" s="50"/>
      <c r="C19" s="1">
        <v>68</v>
      </c>
      <c r="D19" s="1">
        <v>68</v>
      </c>
      <c r="E19" s="1">
        <v>68</v>
      </c>
      <c r="F19" s="1">
        <v>68</v>
      </c>
      <c r="G19" s="1">
        <v>80</v>
      </c>
      <c r="H19" s="1">
        <v>80</v>
      </c>
      <c r="I19" s="1">
        <v>80</v>
      </c>
      <c r="J19" s="1">
        <v>80</v>
      </c>
      <c r="K19" s="1">
        <v>80</v>
      </c>
      <c r="L19" s="1">
        <v>80</v>
      </c>
      <c r="M19" s="1">
        <v>94</v>
      </c>
      <c r="N19" s="1">
        <v>94</v>
      </c>
      <c r="O19" s="1">
        <v>94</v>
      </c>
      <c r="P19" s="1">
        <v>94</v>
      </c>
      <c r="Q19" s="19">
        <v>94</v>
      </c>
    </row>
    <row r="20" spans="1:17" ht="15.6" x14ac:dyDescent="0.3">
      <c r="A20" s="47">
        <v>40</v>
      </c>
      <c r="B20" s="49">
        <v>50</v>
      </c>
      <c r="C20" s="23">
        <v>92</v>
      </c>
      <c r="D20" s="23">
        <v>97</v>
      </c>
      <c r="E20" s="23">
        <v>106</v>
      </c>
      <c r="F20" s="23">
        <v>120</v>
      </c>
      <c r="G20" s="23">
        <v>108</v>
      </c>
      <c r="H20" s="23">
        <v>113</v>
      </c>
      <c r="I20" s="23">
        <v>122</v>
      </c>
      <c r="J20" s="23">
        <v>136</v>
      </c>
      <c r="K20" s="23">
        <v>159</v>
      </c>
      <c r="L20" s="23">
        <v>197</v>
      </c>
      <c r="M20" s="23">
        <v>130</v>
      </c>
      <c r="N20" s="23">
        <v>139</v>
      </c>
      <c r="O20" s="23">
        <v>153</v>
      </c>
      <c r="P20" s="23">
        <v>176</v>
      </c>
      <c r="Q20" s="24">
        <v>214</v>
      </c>
    </row>
    <row r="21" spans="1:17" ht="16.2" thickBot="1" x14ac:dyDescent="0.35">
      <c r="A21" s="48"/>
      <c r="B21" s="50"/>
      <c r="C21" s="1">
        <v>81</v>
      </c>
      <c r="D21" s="1">
        <v>81</v>
      </c>
      <c r="E21" s="1">
        <v>81</v>
      </c>
      <c r="F21" s="1">
        <v>81</v>
      </c>
      <c r="G21" s="1">
        <v>97</v>
      </c>
      <c r="H21" s="1">
        <v>97</v>
      </c>
      <c r="I21" s="1">
        <v>97</v>
      </c>
      <c r="J21" s="1">
        <v>97</v>
      </c>
      <c r="K21" s="1">
        <v>97</v>
      </c>
      <c r="L21" s="1">
        <v>97</v>
      </c>
      <c r="M21" s="1">
        <v>114</v>
      </c>
      <c r="N21" s="1">
        <v>114</v>
      </c>
      <c r="O21" s="1">
        <v>114</v>
      </c>
      <c r="P21" s="1">
        <v>114</v>
      </c>
      <c r="Q21" s="19">
        <v>114</v>
      </c>
    </row>
    <row r="22" spans="1:17" ht="15.6" x14ac:dyDescent="0.3">
      <c r="A22" s="47">
        <v>50</v>
      </c>
      <c r="B22" s="49">
        <v>65</v>
      </c>
      <c r="C22" s="23">
        <v>115</v>
      </c>
      <c r="D22" s="23">
        <v>121</v>
      </c>
      <c r="E22" s="23">
        <v>132</v>
      </c>
      <c r="F22" s="23">
        <v>148</v>
      </c>
      <c r="G22" s="23">
        <v>135</v>
      </c>
      <c r="H22" s="23">
        <v>141</v>
      </c>
      <c r="I22" s="23">
        <v>152</v>
      </c>
      <c r="J22" s="23">
        <v>168</v>
      </c>
      <c r="K22" s="23">
        <v>196</v>
      </c>
      <c r="L22" s="23">
        <v>242</v>
      </c>
      <c r="M22" s="23">
        <v>163</v>
      </c>
      <c r="N22" s="23">
        <v>174</v>
      </c>
      <c r="O22" s="23">
        <v>190</v>
      </c>
      <c r="P22" s="75"/>
      <c r="Q22" s="77"/>
    </row>
    <row r="23" spans="1:17" ht="16.2" thickBot="1" x14ac:dyDescent="0.35">
      <c r="A23" s="48"/>
      <c r="B23" s="50"/>
      <c r="C23" s="1">
        <v>102</v>
      </c>
      <c r="D23" s="1">
        <v>102</v>
      </c>
      <c r="E23" s="1">
        <v>102</v>
      </c>
      <c r="F23" s="1">
        <v>102</v>
      </c>
      <c r="G23" s="1">
        <v>122</v>
      </c>
      <c r="H23" s="1">
        <v>122</v>
      </c>
      <c r="I23" s="1">
        <v>122</v>
      </c>
      <c r="J23" s="1">
        <v>122</v>
      </c>
      <c r="K23" s="1">
        <v>122</v>
      </c>
      <c r="L23" s="1">
        <v>122</v>
      </c>
      <c r="M23" s="1">
        <v>144</v>
      </c>
      <c r="N23" s="1">
        <v>144</v>
      </c>
      <c r="O23" s="1">
        <v>144</v>
      </c>
      <c r="P23" s="76"/>
      <c r="Q23" s="78"/>
    </row>
    <row r="24" spans="1:17" ht="15.6" x14ac:dyDescent="0.3">
      <c r="A24" s="47">
        <v>65</v>
      </c>
      <c r="B24" s="49">
        <v>80</v>
      </c>
      <c r="C24" s="23">
        <v>133</v>
      </c>
      <c r="D24" s="23">
        <v>139</v>
      </c>
      <c r="E24" s="23">
        <v>150</v>
      </c>
      <c r="F24" s="23">
        <v>166</v>
      </c>
      <c r="G24" s="23">
        <v>159</v>
      </c>
      <c r="H24" s="23">
        <v>165</v>
      </c>
      <c r="I24" s="23">
        <v>176</v>
      </c>
      <c r="J24" s="23">
        <v>192</v>
      </c>
      <c r="K24" s="23">
        <v>220</v>
      </c>
      <c r="L24" s="23">
        <v>266</v>
      </c>
      <c r="M24" s="23">
        <v>193</v>
      </c>
      <c r="N24" s="23">
        <v>204</v>
      </c>
      <c r="O24" s="23">
        <v>220</v>
      </c>
      <c r="P24" s="75"/>
      <c r="Q24" s="77"/>
    </row>
    <row r="25" spans="1:17" ht="16.2" thickBot="1" x14ac:dyDescent="0.35">
      <c r="A25" s="48"/>
      <c r="B25" s="50"/>
      <c r="C25" s="1">
        <v>120</v>
      </c>
      <c r="D25" s="1">
        <v>120</v>
      </c>
      <c r="E25" s="1">
        <v>120</v>
      </c>
      <c r="F25" s="1">
        <v>120</v>
      </c>
      <c r="G25" s="1">
        <v>146</v>
      </c>
      <c r="H25" s="1">
        <v>146</v>
      </c>
      <c r="I25" s="1">
        <v>146</v>
      </c>
      <c r="J25" s="1">
        <v>146</v>
      </c>
      <c r="K25" s="1">
        <v>146</v>
      </c>
      <c r="L25" s="1">
        <v>146</v>
      </c>
      <c r="M25" s="1">
        <v>174</v>
      </c>
      <c r="N25" s="1">
        <v>174</v>
      </c>
      <c r="O25" s="1">
        <v>174</v>
      </c>
      <c r="P25" s="76"/>
      <c r="Q25" s="78"/>
    </row>
    <row r="26" spans="1:17" ht="15.6" x14ac:dyDescent="0.3">
      <c r="A26" s="47">
        <v>80</v>
      </c>
      <c r="B26" s="49">
        <v>100</v>
      </c>
      <c r="C26" s="23">
        <v>161</v>
      </c>
      <c r="D26" s="23">
        <v>168</v>
      </c>
      <c r="E26" s="23">
        <v>181</v>
      </c>
      <c r="F26" s="23">
        <v>200</v>
      </c>
      <c r="G26" s="23">
        <v>193</v>
      </c>
      <c r="H26" s="23">
        <v>200</v>
      </c>
      <c r="I26" s="23">
        <v>213</v>
      </c>
      <c r="J26" s="23">
        <v>232</v>
      </c>
      <c r="K26" s="23">
        <v>265</v>
      </c>
      <c r="L26" s="23">
        <v>318</v>
      </c>
      <c r="M26" s="23">
        <v>236</v>
      </c>
      <c r="N26" s="23">
        <v>249</v>
      </c>
      <c r="O26" s="23">
        <v>268</v>
      </c>
      <c r="P26" s="75"/>
      <c r="Q26" s="77"/>
    </row>
    <row r="27" spans="1:17" ht="16.2" thickBot="1" x14ac:dyDescent="0.35">
      <c r="A27" s="48"/>
      <c r="B27" s="50"/>
      <c r="C27" s="1">
        <v>146</v>
      </c>
      <c r="D27" s="1">
        <v>146</v>
      </c>
      <c r="E27" s="1">
        <v>146</v>
      </c>
      <c r="F27" s="1">
        <v>146</v>
      </c>
      <c r="G27" s="1">
        <v>178</v>
      </c>
      <c r="H27" s="1">
        <v>178</v>
      </c>
      <c r="I27" s="1">
        <v>178</v>
      </c>
      <c r="J27" s="1">
        <v>178</v>
      </c>
      <c r="K27" s="1">
        <v>178</v>
      </c>
      <c r="L27" s="1">
        <v>178</v>
      </c>
      <c r="M27" s="1">
        <v>214</v>
      </c>
      <c r="N27" s="1">
        <v>214</v>
      </c>
      <c r="O27" s="1">
        <v>214</v>
      </c>
      <c r="P27" s="76"/>
      <c r="Q27" s="78"/>
    </row>
    <row r="28" spans="1:17" ht="15.6" x14ac:dyDescent="0.3">
      <c r="A28" s="47">
        <v>100</v>
      </c>
      <c r="B28" s="49">
        <v>120</v>
      </c>
      <c r="C28" s="23">
        <v>187</v>
      </c>
      <c r="D28" s="23">
        <v>194</v>
      </c>
      <c r="E28" s="23">
        <v>207</v>
      </c>
      <c r="F28" s="23">
        <v>226</v>
      </c>
      <c r="G28" s="23">
        <v>225</v>
      </c>
      <c r="H28" s="23">
        <v>232</v>
      </c>
      <c r="I28" s="23">
        <v>245</v>
      </c>
      <c r="J28" s="23">
        <v>264</v>
      </c>
      <c r="K28" s="23">
        <v>297</v>
      </c>
      <c r="L28" s="23">
        <v>350</v>
      </c>
      <c r="M28" s="23">
        <v>276</v>
      </c>
      <c r="N28" s="23">
        <v>289</v>
      </c>
      <c r="O28" s="23">
        <v>308</v>
      </c>
      <c r="P28" s="75"/>
      <c r="Q28" s="77"/>
    </row>
    <row r="29" spans="1:17" ht="16.2" thickBot="1" x14ac:dyDescent="0.35">
      <c r="A29" s="48"/>
      <c r="B29" s="50"/>
      <c r="C29" s="1">
        <v>172</v>
      </c>
      <c r="D29" s="1">
        <v>172</v>
      </c>
      <c r="E29" s="1">
        <v>172</v>
      </c>
      <c r="F29" s="1">
        <v>172</v>
      </c>
      <c r="G29" s="1">
        <v>210</v>
      </c>
      <c r="H29" s="1">
        <v>210</v>
      </c>
      <c r="I29" s="1">
        <v>210</v>
      </c>
      <c r="J29" s="1">
        <v>210</v>
      </c>
      <c r="K29" s="1">
        <v>210</v>
      </c>
      <c r="L29" s="1">
        <v>210</v>
      </c>
      <c r="M29" s="1">
        <v>254</v>
      </c>
      <c r="N29" s="1">
        <v>254</v>
      </c>
      <c r="O29" s="1">
        <v>254</v>
      </c>
      <c r="P29" s="76"/>
      <c r="Q29" s="78"/>
    </row>
    <row r="30" spans="1:17" ht="15.6" x14ac:dyDescent="0.3">
      <c r="A30" s="47">
        <v>120</v>
      </c>
      <c r="B30" s="49">
        <v>140</v>
      </c>
      <c r="C30" s="23">
        <v>220</v>
      </c>
      <c r="D30" s="23">
        <v>227</v>
      </c>
      <c r="E30" s="23">
        <v>242</v>
      </c>
      <c r="F30" s="23">
        <v>265</v>
      </c>
      <c r="G30" s="23">
        <v>266</v>
      </c>
      <c r="H30" s="23">
        <v>273</v>
      </c>
      <c r="I30" s="23">
        <v>288</v>
      </c>
      <c r="J30" s="23">
        <v>311</v>
      </c>
      <c r="K30" s="23">
        <v>348</v>
      </c>
      <c r="L30" s="23">
        <v>408</v>
      </c>
      <c r="M30" s="23">
        <v>325</v>
      </c>
      <c r="N30" s="23">
        <v>340</v>
      </c>
      <c r="O30" s="23">
        <v>363</v>
      </c>
      <c r="P30" s="75"/>
      <c r="Q30" s="77"/>
    </row>
    <row r="31" spans="1:17" ht="16.2" thickBot="1" x14ac:dyDescent="0.35">
      <c r="A31" s="48"/>
      <c r="B31" s="50"/>
      <c r="C31" s="1">
        <v>202</v>
      </c>
      <c r="D31" s="1">
        <v>202</v>
      </c>
      <c r="E31" s="1">
        <v>202</v>
      </c>
      <c r="F31" s="1">
        <v>202</v>
      </c>
      <c r="G31" s="1">
        <v>248</v>
      </c>
      <c r="H31" s="1">
        <v>248</v>
      </c>
      <c r="I31" s="1">
        <v>248</v>
      </c>
      <c r="J31" s="1">
        <v>248</v>
      </c>
      <c r="K31" s="1">
        <v>248</v>
      </c>
      <c r="L31" s="1">
        <v>248</v>
      </c>
      <c r="M31" s="1">
        <v>300</v>
      </c>
      <c r="N31" s="1">
        <v>300</v>
      </c>
      <c r="O31" s="1">
        <v>300</v>
      </c>
      <c r="P31" s="76"/>
      <c r="Q31" s="78"/>
    </row>
    <row r="32" spans="1:17" ht="15.6" x14ac:dyDescent="0.3">
      <c r="A32" s="47">
        <v>140</v>
      </c>
      <c r="B32" s="49">
        <v>160</v>
      </c>
      <c r="C32" s="23">
        <v>246</v>
      </c>
      <c r="D32" s="23">
        <v>253</v>
      </c>
      <c r="E32" s="23">
        <v>268</v>
      </c>
      <c r="F32" s="23">
        <v>291</v>
      </c>
      <c r="G32" s="23">
        <v>298</v>
      </c>
      <c r="H32" s="23">
        <v>305</v>
      </c>
      <c r="I32" s="23">
        <v>320</v>
      </c>
      <c r="J32" s="23">
        <v>343</v>
      </c>
      <c r="K32" s="23">
        <v>380</v>
      </c>
      <c r="L32" s="23">
        <v>440</v>
      </c>
      <c r="M32" s="23">
        <v>365</v>
      </c>
      <c r="N32" s="23">
        <v>380</v>
      </c>
      <c r="O32" s="23">
        <v>403</v>
      </c>
      <c r="P32" s="75"/>
      <c r="Q32" s="77"/>
    </row>
    <row r="33" spans="1:17" ht="16.2" thickBot="1" x14ac:dyDescent="0.35">
      <c r="A33" s="48"/>
      <c r="B33" s="50"/>
      <c r="C33" s="1">
        <v>228</v>
      </c>
      <c r="D33" s="1">
        <v>228</v>
      </c>
      <c r="E33" s="1">
        <v>228</v>
      </c>
      <c r="F33" s="1">
        <v>228</v>
      </c>
      <c r="G33" s="1">
        <v>280</v>
      </c>
      <c r="H33" s="1">
        <v>280</v>
      </c>
      <c r="I33" s="1">
        <v>280</v>
      </c>
      <c r="J33" s="1">
        <v>280</v>
      </c>
      <c r="K33" s="1">
        <v>280</v>
      </c>
      <c r="L33" s="1">
        <v>280</v>
      </c>
      <c r="M33" s="1">
        <v>340</v>
      </c>
      <c r="N33" s="1">
        <v>340</v>
      </c>
      <c r="O33" s="1">
        <v>340</v>
      </c>
      <c r="P33" s="76"/>
      <c r="Q33" s="78"/>
    </row>
    <row r="34" spans="1:17" ht="15.6" x14ac:dyDescent="0.3">
      <c r="A34" s="47">
        <v>160</v>
      </c>
      <c r="B34" s="49">
        <v>180</v>
      </c>
      <c r="C34" s="23">
        <v>270</v>
      </c>
      <c r="D34" s="23">
        <v>277</v>
      </c>
      <c r="E34" s="23">
        <v>292</v>
      </c>
      <c r="F34" s="23">
        <v>315</v>
      </c>
      <c r="G34" s="23">
        <v>328</v>
      </c>
      <c r="H34" s="23">
        <v>335</v>
      </c>
      <c r="I34" s="23">
        <v>350</v>
      </c>
      <c r="J34" s="23">
        <v>373</v>
      </c>
      <c r="K34" s="23">
        <v>410</v>
      </c>
      <c r="L34" s="23">
        <v>470</v>
      </c>
      <c r="M34" s="23">
        <v>405</v>
      </c>
      <c r="N34" s="23">
        <v>420</v>
      </c>
      <c r="O34" s="23">
        <v>443</v>
      </c>
      <c r="P34" s="75"/>
      <c r="Q34" s="77"/>
    </row>
    <row r="35" spans="1:17" ht="16.2" thickBot="1" x14ac:dyDescent="0.35">
      <c r="A35" s="48"/>
      <c r="B35" s="50"/>
      <c r="C35" s="1">
        <v>252</v>
      </c>
      <c r="D35" s="1">
        <v>252</v>
      </c>
      <c r="E35" s="1">
        <v>252</v>
      </c>
      <c r="F35" s="1">
        <v>252</v>
      </c>
      <c r="G35" s="1">
        <v>310</v>
      </c>
      <c r="H35" s="1">
        <v>310</v>
      </c>
      <c r="I35" s="1">
        <v>310</v>
      </c>
      <c r="J35" s="1">
        <v>310</v>
      </c>
      <c r="K35" s="1">
        <v>310</v>
      </c>
      <c r="L35" s="1">
        <v>310</v>
      </c>
      <c r="M35" s="1">
        <v>380</v>
      </c>
      <c r="N35" s="1">
        <v>380</v>
      </c>
      <c r="O35" s="1">
        <v>380</v>
      </c>
      <c r="P35" s="76"/>
      <c r="Q35" s="78"/>
    </row>
    <row r="36" spans="1:17" ht="15.6" x14ac:dyDescent="0.3">
      <c r="A36" s="47">
        <v>180</v>
      </c>
      <c r="B36" s="49">
        <v>200</v>
      </c>
      <c r="C36" s="23">
        <v>304</v>
      </c>
      <c r="D36" s="23">
        <v>313</v>
      </c>
      <c r="E36" s="23">
        <v>330</v>
      </c>
      <c r="F36" s="23">
        <v>356</v>
      </c>
      <c r="G36" s="23">
        <v>370</v>
      </c>
      <c r="H36" s="23">
        <v>379</v>
      </c>
      <c r="I36" s="23">
        <v>396</v>
      </c>
      <c r="J36" s="23">
        <v>422</v>
      </c>
      <c r="K36" s="23">
        <v>465</v>
      </c>
      <c r="L36" s="23">
        <v>535</v>
      </c>
      <c r="M36" s="23">
        <v>454</v>
      </c>
      <c r="N36" s="23">
        <v>471</v>
      </c>
      <c r="O36" s="23">
        <v>497</v>
      </c>
      <c r="P36" s="75"/>
      <c r="Q36" s="77"/>
    </row>
    <row r="37" spans="1:17" ht="16.2" thickBot="1" x14ac:dyDescent="0.35">
      <c r="A37" s="48"/>
      <c r="B37" s="50"/>
      <c r="C37" s="1">
        <v>284</v>
      </c>
      <c r="D37" s="1">
        <v>284</v>
      </c>
      <c r="E37" s="1">
        <v>284</v>
      </c>
      <c r="F37" s="1">
        <v>284</v>
      </c>
      <c r="G37" s="1">
        <v>350</v>
      </c>
      <c r="H37" s="1">
        <v>350</v>
      </c>
      <c r="I37" s="1">
        <v>350</v>
      </c>
      <c r="J37" s="1">
        <v>350</v>
      </c>
      <c r="K37" s="1">
        <v>350</v>
      </c>
      <c r="L37" s="1">
        <v>350</v>
      </c>
      <c r="M37" s="1">
        <v>425</v>
      </c>
      <c r="N37" s="1">
        <v>425</v>
      </c>
      <c r="O37" s="1">
        <v>425</v>
      </c>
      <c r="P37" s="76"/>
      <c r="Q37" s="78"/>
    </row>
    <row r="38" spans="1:17" ht="15.6" x14ac:dyDescent="0.3">
      <c r="A38" s="47">
        <v>200</v>
      </c>
      <c r="B38" s="49">
        <v>225</v>
      </c>
      <c r="C38" s="23">
        <v>330</v>
      </c>
      <c r="D38" s="23">
        <v>339</v>
      </c>
      <c r="E38" s="23">
        <v>356</v>
      </c>
      <c r="F38" s="23">
        <v>382</v>
      </c>
      <c r="G38" s="23">
        <v>405</v>
      </c>
      <c r="H38" s="23">
        <v>414</v>
      </c>
      <c r="I38" s="23">
        <v>431</v>
      </c>
      <c r="J38" s="23">
        <v>457</v>
      </c>
      <c r="K38" s="23">
        <v>500</v>
      </c>
      <c r="L38" s="23">
        <v>570</v>
      </c>
      <c r="M38" s="23">
        <v>499</v>
      </c>
      <c r="N38" s="23">
        <v>516</v>
      </c>
      <c r="O38" s="23">
        <v>542</v>
      </c>
      <c r="P38" s="75"/>
      <c r="Q38" s="77"/>
    </row>
    <row r="39" spans="1:17" ht="16.2" thickBot="1" x14ac:dyDescent="0.35">
      <c r="A39" s="48"/>
      <c r="B39" s="50"/>
      <c r="C39" s="1">
        <v>310</v>
      </c>
      <c r="D39" s="1">
        <v>310</v>
      </c>
      <c r="E39" s="1">
        <v>310</v>
      </c>
      <c r="F39" s="1">
        <v>310</v>
      </c>
      <c r="G39" s="1">
        <v>385</v>
      </c>
      <c r="H39" s="1">
        <v>385</v>
      </c>
      <c r="I39" s="1">
        <v>385</v>
      </c>
      <c r="J39" s="1">
        <v>385</v>
      </c>
      <c r="K39" s="1">
        <v>385</v>
      </c>
      <c r="L39" s="1">
        <v>385</v>
      </c>
      <c r="M39" s="1">
        <v>470</v>
      </c>
      <c r="N39" s="1">
        <v>470</v>
      </c>
      <c r="O39" s="1">
        <v>470</v>
      </c>
      <c r="P39" s="76"/>
      <c r="Q39" s="78"/>
    </row>
    <row r="40" spans="1:17" ht="15.6" x14ac:dyDescent="0.3">
      <c r="A40" s="47">
        <v>225</v>
      </c>
      <c r="B40" s="49">
        <v>250</v>
      </c>
      <c r="C40" s="23">
        <v>360</v>
      </c>
      <c r="D40" s="23">
        <v>369</v>
      </c>
      <c r="E40" s="23">
        <v>386</v>
      </c>
      <c r="F40" s="23">
        <v>412</v>
      </c>
      <c r="G40" s="23">
        <v>445</v>
      </c>
      <c r="H40" s="23">
        <v>454</v>
      </c>
      <c r="I40" s="23">
        <v>471</v>
      </c>
      <c r="J40" s="23">
        <v>497</v>
      </c>
      <c r="K40" s="23">
        <v>540</v>
      </c>
      <c r="L40" s="23">
        <v>610</v>
      </c>
      <c r="M40" s="23">
        <v>549</v>
      </c>
      <c r="N40" s="23">
        <v>566</v>
      </c>
      <c r="O40" s="23">
        <v>592</v>
      </c>
      <c r="P40" s="75"/>
      <c r="Q40" s="77"/>
    </row>
    <row r="41" spans="1:17" ht="16.2" thickBot="1" x14ac:dyDescent="0.35">
      <c r="A41" s="48"/>
      <c r="B41" s="50"/>
      <c r="C41" s="1">
        <v>340</v>
      </c>
      <c r="D41" s="1">
        <v>340</v>
      </c>
      <c r="E41" s="1">
        <v>340</v>
      </c>
      <c r="F41" s="1">
        <v>340</v>
      </c>
      <c r="G41" s="1">
        <v>425</v>
      </c>
      <c r="H41" s="1">
        <v>425</v>
      </c>
      <c r="I41" s="1">
        <v>425</v>
      </c>
      <c r="J41" s="1">
        <v>425</v>
      </c>
      <c r="K41" s="1">
        <v>425</v>
      </c>
      <c r="L41" s="1">
        <v>425</v>
      </c>
      <c r="M41" s="1">
        <v>520</v>
      </c>
      <c r="N41" s="1">
        <v>520</v>
      </c>
      <c r="O41" s="1">
        <v>520</v>
      </c>
      <c r="P41" s="76"/>
      <c r="Q41" s="78"/>
    </row>
    <row r="42" spans="1:17" ht="15.6" x14ac:dyDescent="0.3">
      <c r="A42" s="47">
        <v>250</v>
      </c>
      <c r="B42" s="49">
        <v>280</v>
      </c>
      <c r="C42" s="23">
        <v>408</v>
      </c>
      <c r="D42" s="23">
        <v>417</v>
      </c>
      <c r="E42" s="23">
        <v>437</v>
      </c>
      <c r="F42" s="23">
        <v>466</v>
      </c>
      <c r="G42" s="23">
        <v>498</v>
      </c>
      <c r="H42" s="23">
        <v>507</v>
      </c>
      <c r="I42" s="23">
        <v>527</v>
      </c>
      <c r="J42" s="23">
        <v>556</v>
      </c>
      <c r="K42" s="23">
        <v>650</v>
      </c>
      <c r="L42" s="23">
        <v>685</v>
      </c>
      <c r="M42" s="23">
        <v>612</v>
      </c>
      <c r="N42" s="23">
        <v>632</v>
      </c>
      <c r="O42" s="23">
        <v>661</v>
      </c>
      <c r="P42" s="75"/>
      <c r="Q42" s="77"/>
    </row>
    <row r="43" spans="1:17" ht="16.2" thickBot="1" x14ac:dyDescent="0.35">
      <c r="A43" s="48"/>
      <c r="B43" s="50"/>
      <c r="C43" s="1">
        <v>385</v>
      </c>
      <c r="D43" s="1">
        <v>385</v>
      </c>
      <c r="E43" s="1">
        <v>385</v>
      </c>
      <c r="F43" s="1">
        <v>385</v>
      </c>
      <c r="G43" s="1">
        <v>475</v>
      </c>
      <c r="H43" s="1">
        <v>475</v>
      </c>
      <c r="I43" s="1">
        <v>475</v>
      </c>
      <c r="J43" s="1">
        <v>475</v>
      </c>
      <c r="K43" s="1">
        <v>475</v>
      </c>
      <c r="L43" s="1">
        <v>475</v>
      </c>
      <c r="M43" s="1">
        <v>580</v>
      </c>
      <c r="N43" s="1">
        <v>580</v>
      </c>
      <c r="O43" s="1">
        <v>580</v>
      </c>
      <c r="P43" s="76"/>
      <c r="Q43" s="78"/>
    </row>
    <row r="44" spans="1:17" ht="15.6" x14ac:dyDescent="0.3">
      <c r="A44" s="47">
        <v>280</v>
      </c>
      <c r="B44" s="49">
        <v>315</v>
      </c>
      <c r="C44" s="23">
        <v>448</v>
      </c>
      <c r="D44" s="23">
        <v>457</v>
      </c>
      <c r="E44" s="23">
        <v>477</v>
      </c>
      <c r="F44" s="23">
        <v>506</v>
      </c>
      <c r="G44" s="23">
        <v>548</v>
      </c>
      <c r="H44" s="23">
        <v>557</v>
      </c>
      <c r="I44" s="23">
        <v>577</v>
      </c>
      <c r="J44" s="23">
        <v>606</v>
      </c>
      <c r="K44" s="23">
        <v>655</v>
      </c>
      <c r="L44" s="23">
        <v>735</v>
      </c>
      <c r="M44" s="23">
        <v>682</v>
      </c>
      <c r="N44" s="23">
        <v>702</v>
      </c>
      <c r="O44" s="23">
        <v>731</v>
      </c>
      <c r="P44" s="75"/>
      <c r="Q44" s="77"/>
    </row>
    <row r="45" spans="1:17" ht="16.2" thickBot="1" x14ac:dyDescent="0.35">
      <c r="A45" s="48"/>
      <c r="B45" s="50"/>
      <c r="C45" s="1">
        <v>425</v>
      </c>
      <c r="D45" s="1">
        <v>425</v>
      </c>
      <c r="E45" s="1">
        <v>425</v>
      </c>
      <c r="F45" s="1">
        <v>425</v>
      </c>
      <c r="G45" s="1">
        <v>525</v>
      </c>
      <c r="H45" s="1">
        <v>525</v>
      </c>
      <c r="I45" s="1">
        <v>525</v>
      </c>
      <c r="J45" s="1">
        <v>525</v>
      </c>
      <c r="K45" s="1">
        <v>525</v>
      </c>
      <c r="L45" s="1">
        <v>525</v>
      </c>
      <c r="M45" s="1">
        <v>650</v>
      </c>
      <c r="N45" s="1">
        <v>650</v>
      </c>
      <c r="O45" s="1">
        <v>650</v>
      </c>
      <c r="P45" s="76"/>
      <c r="Q45" s="78"/>
    </row>
    <row r="46" spans="1:17" ht="15.6" x14ac:dyDescent="0.3">
      <c r="A46" s="47">
        <v>315</v>
      </c>
      <c r="B46" s="49">
        <v>355</v>
      </c>
      <c r="C46" s="23">
        <v>500</v>
      </c>
      <c r="D46" s="23">
        <v>511</v>
      </c>
      <c r="E46" s="23">
        <v>532</v>
      </c>
      <c r="F46" s="23">
        <v>564</v>
      </c>
      <c r="G46" s="23">
        <v>615</v>
      </c>
      <c r="H46" s="23">
        <v>626</v>
      </c>
      <c r="I46" s="23">
        <v>647</v>
      </c>
      <c r="J46" s="23">
        <v>679</v>
      </c>
      <c r="K46" s="23">
        <v>730</v>
      </c>
      <c r="L46" s="23">
        <v>820</v>
      </c>
      <c r="M46" s="23">
        <v>766</v>
      </c>
      <c r="N46" s="23">
        <v>787</v>
      </c>
      <c r="O46" s="23">
        <v>819</v>
      </c>
      <c r="P46" s="75"/>
      <c r="Q46" s="77"/>
    </row>
    <row r="47" spans="1:17" ht="16.2" thickBot="1" x14ac:dyDescent="0.35">
      <c r="A47" s="48"/>
      <c r="B47" s="50"/>
      <c r="C47" s="1">
        <v>475</v>
      </c>
      <c r="D47" s="1">
        <v>475</v>
      </c>
      <c r="E47" s="1">
        <v>475</v>
      </c>
      <c r="F47" s="1">
        <v>475</v>
      </c>
      <c r="G47" s="1">
        <v>590</v>
      </c>
      <c r="H47" s="1">
        <v>590</v>
      </c>
      <c r="I47" s="1">
        <v>590</v>
      </c>
      <c r="J47" s="1">
        <v>590</v>
      </c>
      <c r="K47" s="1">
        <v>590</v>
      </c>
      <c r="L47" s="1">
        <v>590</v>
      </c>
      <c r="M47" s="1">
        <v>730</v>
      </c>
      <c r="N47" s="1">
        <v>730</v>
      </c>
      <c r="O47" s="1">
        <v>730</v>
      </c>
      <c r="P47" s="76"/>
      <c r="Q47" s="78"/>
    </row>
    <row r="48" spans="1:17" ht="15.6" x14ac:dyDescent="0.3">
      <c r="A48" s="47">
        <v>355</v>
      </c>
      <c r="B48" s="49">
        <v>400</v>
      </c>
      <c r="C48" s="23">
        <v>555</v>
      </c>
      <c r="D48" s="23">
        <v>566</v>
      </c>
      <c r="E48" s="23">
        <v>587</v>
      </c>
      <c r="F48" s="23">
        <v>619</v>
      </c>
      <c r="G48" s="23">
        <v>685</v>
      </c>
      <c r="H48" s="23">
        <v>696</v>
      </c>
      <c r="I48" s="23">
        <v>717</v>
      </c>
      <c r="J48" s="23">
        <v>749</v>
      </c>
      <c r="K48" s="23">
        <v>800</v>
      </c>
      <c r="L48" s="23">
        <v>890</v>
      </c>
      <c r="M48" s="23">
        <v>856</v>
      </c>
      <c r="N48" s="23">
        <v>877</v>
      </c>
      <c r="O48" s="23">
        <v>909</v>
      </c>
      <c r="P48" s="75"/>
      <c r="Q48" s="77"/>
    </row>
    <row r="49" spans="1:17" ht="16.2" thickBot="1" x14ac:dyDescent="0.35">
      <c r="A49" s="48"/>
      <c r="B49" s="50"/>
      <c r="C49" s="1">
        <v>530</v>
      </c>
      <c r="D49" s="1">
        <v>530</v>
      </c>
      <c r="E49" s="1">
        <v>530</v>
      </c>
      <c r="F49" s="1">
        <v>530</v>
      </c>
      <c r="G49" s="1">
        <v>660</v>
      </c>
      <c r="H49" s="1">
        <v>660</v>
      </c>
      <c r="I49" s="1">
        <v>660</v>
      </c>
      <c r="J49" s="1">
        <v>660</v>
      </c>
      <c r="K49" s="1">
        <v>660</v>
      </c>
      <c r="L49" s="1">
        <v>660</v>
      </c>
      <c r="M49" s="1">
        <v>820</v>
      </c>
      <c r="N49" s="1">
        <v>820</v>
      </c>
      <c r="O49" s="1">
        <v>820</v>
      </c>
      <c r="P49" s="76"/>
      <c r="Q49" s="78"/>
    </row>
    <row r="50" spans="1:17" ht="15.6" x14ac:dyDescent="0.3">
      <c r="A50" s="47">
        <v>400</v>
      </c>
      <c r="B50" s="49">
        <v>450</v>
      </c>
      <c r="C50" s="23">
        <v>622</v>
      </c>
      <c r="D50" s="23">
        <v>635</v>
      </c>
      <c r="E50" s="23">
        <v>658</v>
      </c>
      <c r="F50" s="23">
        <v>692</v>
      </c>
      <c r="G50" s="23">
        <v>767</v>
      </c>
      <c r="H50" s="23">
        <v>780</v>
      </c>
      <c r="I50" s="23">
        <v>803</v>
      </c>
      <c r="J50" s="23">
        <v>837</v>
      </c>
      <c r="K50" s="23">
        <v>895</v>
      </c>
      <c r="L50" s="23">
        <v>990</v>
      </c>
      <c r="M50" s="23">
        <v>960</v>
      </c>
      <c r="N50" s="23">
        <v>983</v>
      </c>
      <c r="O50" s="41">
        <v>1017</v>
      </c>
      <c r="P50" s="75"/>
      <c r="Q50" s="77"/>
    </row>
    <row r="51" spans="1:17" ht="16.2" thickBot="1" x14ac:dyDescent="0.35">
      <c r="A51" s="48"/>
      <c r="B51" s="50"/>
      <c r="C51" s="1">
        <v>595</v>
      </c>
      <c r="D51" s="1">
        <v>595</v>
      </c>
      <c r="E51" s="1">
        <v>595</v>
      </c>
      <c r="F51" s="1">
        <v>595</v>
      </c>
      <c r="G51" s="1">
        <v>740</v>
      </c>
      <c r="H51" s="1">
        <v>740</v>
      </c>
      <c r="I51" s="1">
        <v>740</v>
      </c>
      <c r="J51" s="1">
        <v>740</v>
      </c>
      <c r="K51" s="1">
        <v>740</v>
      </c>
      <c r="L51" s="1">
        <v>740</v>
      </c>
      <c r="M51" s="1">
        <v>920</v>
      </c>
      <c r="N51" s="1">
        <v>920</v>
      </c>
      <c r="O51" s="1">
        <v>920</v>
      </c>
      <c r="P51" s="76"/>
      <c r="Q51" s="78"/>
    </row>
    <row r="52" spans="1:17" ht="15.6" x14ac:dyDescent="0.3">
      <c r="A52" s="47">
        <v>450</v>
      </c>
      <c r="B52" s="49">
        <v>500</v>
      </c>
      <c r="C52" s="23">
        <v>687</v>
      </c>
      <c r="D52" s="23">
        <v>700</v>
      </c>
      <c r="E52" s="23">
        <v>723</v>
      </c>
      <c r="F52" s="23">
        <v>757</v>
      </c>
      <c r="G52" s="23">
        <v>847</v>
      </c>
      <c r="H52" s="23">
        <v>860</v>
      </c>
      <c r="I52" s="23">
        <v>883</v>
      </c>
      <c r="J52" s="23">
        <v>917</v>
      </c>
      <c r="K52" s="23">
        <v>975</v>
      </c>
      <c r="L52" s="41">
        <v>1070</v>
      </c>
      <c r="M52" s="41">
        <v>1040</v>
      </c>
      <c r="N52" s="41">
        <v>1063</v>
      </c>
      <c r="O52" s="41">
        <v>1097</v>
      </c>
      <c r="P52" s="75"/>
      <c r="Q52" s="77"/>
    </row>
    <row r="53" spans="1:17" ht="16.2" thickBot="1" x14ac:dyDescent="0.35">
      <c r="A53" s="48"/>
      <c r="B53" s="50"/>
      <c r="C53" s="1">
        <v>660</v>
      </c>
      <c r="D53" s="1">
        <v>660</v>
      </c>
      <c r="E53" s="1">
        <v>660</v>
      </c>
      <c r="F53" s="1">
        <v>660</v>
      </c>
      <c r="G53" s="1">
        <v>820</v>
      </c>
      <c r="H53" s="1">
        <v>820</v>
      </c>
      <c r="I53" s="1">
        <v>820</v>
      </c>
      <c r="J53" s="1">
        <v>820</v>
      </c>
      <c r="K53" s="1">
        <v>820</v>
      </c>
      <c r="L53" s="1">
        <v>820</v>
      </c>
      <c r="M53" s="28">
        <v>1000</v>
      </c>
      <c r="N53" s="28">
        <v>1000</v>
      </c>
      <c r="O53" s="28">
        <v>1000</v>
      </c>
      <c r="P53" s="76"/>
      <c r="Q53" s="78"/>
    </row>
    <row r="54" spans="1:17" ht="16.2" thickBot="1" x14ac:dyDescent="0.35">
      <c r="A54" s="114" t="s">
        <v>45</v>
      </c>
      <c r="B54" s="104"/>
      <c r="C54" s="104"/>
      <c r="D54" s="104"/>
      <c r="E54" s="104"/>
      <c r="F54" s="104"/>
      <c r="G54" s="104"/>
      <c r="H54" s="104"/>
      <c r="I54" s="104"/>
      <c r="J54" s="104"/>
      <c r="K54" s="104"/>
      <c r="L54" s="104"/>
      <c r="M54" s="104"/>
      <c r="N54" s="104"/>
      <c r="O54" s="104"/>
      <c r="P54" s="104"/>
      <c r="Q54" s="105"/>
    </row>
    <row r="55" spans="1:17" ht="18.600000000000001" customHeight="1" thickBot="1" x14ac:dyDescent="0.35">
      <c r="A55" s="128" t="s">
        <v>46</v>
      </c>
      <c r="B55" s="104"/>
      <c r="C55" s="104"/>
      <c r="D55" s="104"/>
      <c r="E55" s="104"/>
      <c r="F55" s="104"/>
      <c r="G55" s="104"/>
      <c r="H55" s="104"/>
      <c r="I55" s="104"/>
      <c r="J55" s="104"/>
      <c r="K55" s="104"/>
      <c r="L55" s="104"/>
      <c r="M55" s="104"/>
      <c r="N55" s="104"/>
      <c r="O55" s="104"/>
      <c r="P55" s="104"/>
      <c r="Q55" s="105"/>
    </row>
    <row r="56" spans="1:17" ht="19.2" customHeight="1" x14ac:dyDescent="0.3">
      <c r="A56" s="129" t="s">
        <v>47</v>
      </c>
      <c r="B56" s="124"/>
      <c r="C56" s="124"/>
      <c r="D56" s="124"/>
      <c r="E56" s="124"/>
      <c r="F56" s="124"/>
      <c r="G56" s="124"/>
      <c r="H56" s="124"/>
      <c r="I56" s="124"/>
      <c r="J56" s="124"/>
      <c r="K56" s="124"/>
      <c r="L56" s="124"/>
      <c r="M56" s="124"/>
      <c r="N56" s="124"/>
      <c r="O56" s="124"/>
      <c r="P56" s="124"/>
      <c r="Q56" s="125"/>
    </row>
  </sheetData>
  <mergeCells count="131">
    <mergeCell ref="A54:Q54"/>
    <mergeCell ref="A55:Q55"/>
    <mergeCell ref="A56:Q56"/>
    <mergeCell ref="A50:A51"/>
    <mergeCell ref="B50:B51"/>
    <mergeCell ref="P50:P51"/>
    <mergeCell ref="Q50:Q51"/>
    <mergeCell ref="A52:A53"/>
    <mergeCell ref="B52:B53"/>
    <mergeCell ref="P52:P53"/>
    <mergeCell ref="Q52:Q53"/>
    <mergeCell ref="A46:A47"/>
    <mergeCell ref="B46:B47"/>
    <mergeCell ref="P46:P47"/>
    <mergeCell ref="Q46:Q47"/>
    <mergeCell ref="A48:A49"/>
    <mergeCell ref="B48:B49"/>
    <mergeCell ref="P48:P49"/>
    <mergeCell ref="Q48:Q49"/>
    <mergeCell ref="A42:A43"/>
    <mergeCell ref="B42:B43"/>
    <mergeCell ref="P42:P43"/>
    <mergeCell ref="Q42:Q43"/>
    <mergeCell ref="A44:A45"/>
    <mergeCell ref="B44:B45"/>
    <mergeCell ref="P44:P45"/>
    <mergeCell ref="Q44:Q45"/>
    <mergeCell ref="A38:A39"/>
    <mergeCell ref="B38:B39"/>
    <mergeCell ref="P38:P39"/>
    <mergeCell ref="Q38:Q39"/>
    <mergeCell ref="A40:A41"/>
    <mergeCell ref="B40:B41"/>
    <mergeCell ref="P40:P41"/>
    <mergeCell ref="Q40:Q41"/>
    <mergeCell ref="A34:A35"/>
    <mergeCell ref="B34:B35"/>
    <mergeCell ref="P34:P35"/>
    <mergeCell ref="Q34:Q35"/>
    <mergeCell ref="A36:A37"/>
    <mergeCell ref="B36:B37"/>
    <mergeCell ref="P36:P37"/>
    <mergeCell ref="Q36:Q37"/>
    <mergeCell ref="A30:A31"/>
    <mergeCell ref="B30:B31"/>
    <mergeCell ref="P30:P31"/>
    <mergeCell ref="Q30:Q31"/>
    <mergeCell ref="A32:A33"/>
    <mergeCell ref="B32:B33"/>
    <mergeCell ref="P32:P33"/>
    <mergeCell ref="Q32:Q33"/>
    <mergeCell ref="A26:A27"/>
    <mergeCell ref="B26:B27"/>
    <mergeCell ref="P26:P27"/>
    <mergeCell ref="Q26:Q27"/>
    <mergeCell ref="A28:A29"/>
    <mergeCell ref="B28:B29"/>
    <mergeCell ref="P28:P29"/>
    <mergeCell ref="Q28:Q29"/>
    <mergeCell ref="P22:P23"/>
    <mergeCell ref="Q22:Q23"/>
    <mergeCell ref="A24:A25"/>
    <mergeCell ref="B24:B25"/>
    <mergeCell ref="P24:P25"/>
    <mergeCell ref="Q24:Q25"/>
    <mergeCell ref="A18:A19"/>
    <mergeCell ref="B18:B19"/>
    <mergeCell ref="A20:A21"/>
    <mergeCell ref="B20:B21"/>
    <mergeCell ref="A22:A23"/>
    <mergeCell ref="B22:B23"/>
    <mergeCell ref="P12:P13"/>
    <mergeCell ref="Q12:Q13"/>
    <mergeCell ref="A14:A15"/>
    <mergeCell ref="B14:B15"/>
    <mergeCell ref="A16:A17"/>
    <mergeCell ref="B16:B17"/>
    <mergeCell ref="M10:M11"/>
    <mergeCell ref="N10:N11"/>
    <mergeCell ref="O10:O11"/>
    <mergeCell ref="P10:P11"/>
    <mergeCell ref="Q10:Q11"/>
    <mergeCell ref="A12:A13"/>
    <mergeCell ref="B12:B13"/>
    <mergeCell ref="M12:M13"/>
    <mergeCell ref="N12:N13"/>
    <mergeCell ref="O12:O13"/>
    <mergeCell ref="A10:A11"/>
    <mergeCell ref="B10:B11"/>
    <mergeCell ref="C10:C11"/>
    <mergeCell ref="D10:D11"/>
    <mergeCell ref="E10:E11"/>
    <mergeCell ref="F10:F11"/>
    <mergeCell ref="F8:F9"/>
    <mergeCell ref="M8:M9"/>
    <mergeCell ref="N8:N9"/>
    <mergeCell ref="O8:O9"/>
    <mergeCell ref="P8:P9"/>
    <mergeCell ref="Q8:Q9"/>
    <mergeCell ref="M6:M7"/>
    <mergeCell ref="N6:N7"/>
    <mergeCell ref="O6:O7"/>
    <mergeCell ref="P6:P7"/>
    <mergeCell ref="Q6:Q7"/>
    <mergeCell ref="F6:F7"/>
    <mergeCell ref="A8:A9"/>
    <mergeCell ref="B8:B9"/>
    <mergeCell ref="C8:C9"/>
    <mergeCell ref="D8:D9"/>
    <mergeCell ref="E8:E9"/>
    <mergeCell ref="A6:A7"/>
    <mergeCell ref="B6:B7"/>
    <mergeCell ref="C6:C7"/>
    <mergeCell ref="D6:D7"/>
    <mergeCell ref="E6:E7"/>
    <mergeCell ref="F4:F5"/>
    <mergeCell ref="M4:M5"/>
    <mergeCell ref="N4:N5"/>
    <mergeCell ref="O4:O5"/>
    <mergeCell ref="P4:P5"/>
    <mergeCell ref="Q4:Q5"/>
    <mergeCell ref="A1:B1"/>
    <mergeCell ref="A2:B2"/>
    <mergeCell ref="C1:F2"/>
    <mergeCell ref="G1:L2"/>
    <mergeCell ref="M1:Q2"/>
    <mergeCell ref="A4:A5"/>
    <mergeCell ref="B4:B5"/>
    <mergeCell ref="C4:C5"/>
    <mergeCell ref="D4:D5"/>
    <mergeCell ref="E4:E5"/>
  </mergeCells>
  <phoneticPr fontId="7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81F9C-5707-447C-B28F-236F2F2AB155}">
  <dimension ref="A1:N55"/>
  <sheetViews>
    <sheetView topLeftCell="A23" workbookViewId="0">
      <selection activeCell="A54" sqref="A54:N54"/>
    </sheetView>
  </sheetViews>
  <sheetFormatPr defaultRowHeight="15" x14ac:dyDescent="0.3"/>
  <sheetData>
    <row r="1" spans="1:14" ht="16.2" thickTop="1" x14ac:dyDescent="0.3">
      <c r="A1" s="65" t="s">
        <v>0</v>
      </c>
      <c r="B1" s="66"/>
      <c r="C1" s="51" t="s">
        <v>48</v>
      </c>
      <c r="D1" s="52"/>
      <c r="E1" s="52"/>
      <c r="F1" s="52"/>
      <c r="G1" s="52"/>
      <c r="H1" s="63"/>
      <c r="I1" s="51" t="s">
        <v>49</v>
      </c>
      <c r="J1" s="52"/>
      <c r="K1" s="52"/>
      <c r="L1" s="52"/>
      <c r="M1" s="52"/>
      <c r="N1" s="53"/>
    </row>
    <row r="2" spans="1:14" ht="16.2" thickBot="1" x14ac:dyDescent="0.35">
      <c r="A2" s="61" t="s">
        <v>1</v>
      </c>
      <c r="B2" s="62"/>
      <c r="C2" s="54"/>
      <c r="D2" s="55"/>
      <c r="E2" s="55"/>
      <c r="F2" s="55"/>
      <c r="G2" s="55"/>
      <c r="H2" s="64"/>
      <c r="I2" s="54"/>
      <c r="J2" s="55"/>
      <c r="K2" s="55"/>
      <c r="L2" s="55"/>
      <c r="M2" s="55"/>
      <c r="N2" s="56"/>
    </row>
    <row r="3" spans="1:14" ht="16.2" thickBot="1" x14ac:dyDescent="0.35">
      <c r="A3" s="21" t="s">
        <v>3</v>
      </c>
      <c r="B3" s="20" t="s">
        <v>4</v>
      </c>
      <c r="C3" s="2">
        <v>6</v>
      </c>
      <c r="D3" s="2">
        <v>7</v>
      </c>
      <c r="E3" s="2">
        <v>8</v>
      </c>
      <c r="F3" s="2">
        <v>9</v>
      </c>
      <c r="G3" s="2">
        <v>10</v>
      </c>
      <c r="H3" s="2">
        <v>11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3">
        <v>11</v>
      </c>
    </row>
    <row r="4" spans="1:14" ht="15.6" x14ac:dyDescent="0.3">
      <c r="A4" s="73" t="s">
        <v>5</v>
      </c>
      <c r="B4" s="49">
        <v>3</v>
      </c>
      <c r="C4" s="23">
        <v>32</v>
      </c>
      <c r="D4" s="23">
        <v>36</v>
      </c>
      <c r="E4" s="23">
        <v>40</v>
      </c>
      <c r="F4" s="23">
        <v>51</v>
      </c>
      <c r="G4" s="23">
        <v>66</v>
      </c>
      <c r="H4" s="23">
        <v>86</v>
      </c>
      <c r="I4" s="23">
        <v>38</v>
      </c>
      <c r="J4" s="23">
        <v>42</v>
      </c>
      <c r="K4" s="23">
        <v>46</v>
      </c>
      <c r="L4" s="23">
        <v>57</v>
      </c>
      <c r="M4" s="23">
        <v>72</v>
      </c>
      <c r="N4" s="24">
        <v>92</v>
      </c>
    </row>
    <row r="5" spans="1:14" ht="16.2" thickBot="1" x14ac:dyDescent="0.35">
      <c r="A5" s="74"/>
      <c r="B5" s="50"/>
      <c r="C5" s="1">
        <v>26</v>
      </c>
      <c r="D5" s="1">
        <v>26</v>
      </c>
      <c r="E5" s="1">
        <v>26</v>
      </c>
      <c r="F5" s="1">
        <v>26</v>
      </c>
      <c r="G5" s="1">
        <v>26</v>
      </c>
      <c r="H5" s="1">
        <v>26</v>
      </c>
      <c r="I5" s="1">
        <v>32</v>
      </c>
      <c r="J5" s="1">
        <v>32</v>
      </c>
      <c r="K5" s="1">
        <v>32</v>
      </c>
      <c r="L5" s="1">
        <v>32</v>
      </c>
      <c r="M5" s="1">
        <v>32</v>
      </c>
      <c r="N5" s="19">
        <v>32</v>
      </c>
    </row>
    <row r="6" spans="1:14" ht="15.6" x14ac:dyDescent="0.3">
      <c r="A6" s="47">
        <v>3</v>
      </c>
      <c r="B6" s="49">
        <v>6</v>
      </c>
      <c r="C6" s="23">
        <v>43</v>
      </c>
      <c r="D6" s="23">
        <v>47</v>
      </c>
      <c r="E6" s="23">
        <v>53</v>
      </c>
      <c r="F6" s="23">
        <v>65</v>
      </c>
      <c r="G6" s="23">
        <v>83</v>
      </c>
      <c r="H6" s="23">
        <v>110</v>
      </c>
      <c r="I6" s="23">
        <v>50</v>
      </c>
      <c r="J6" s="23">
        <v>54</v>
      </c>
      <c r="K6" s="23">
        <v>60</v>
      </c>
      <c r="L6" s="23">
        <v>72</v>
      </c>
      <c r="M6" s="23">
        <v>90</v>
      </c>
      <c r="N6" s="24">
        <v>117</v>
      </c>
    </row>
    <row r="7" spans="1:14" ht="16.2" thickBot="1" x14ac:dyDescent="0.35">
      <c r="A7" s="48"/>
      <c r="B7" s="50"/>
      <c r="C7" s="1">
        <v>35</v>
      </c>
      <c r="D7" s="1">
        <v>35</v>
      </c>
      <c r="E7" s="1">
        <v>35</v>
      </c>
      <c r="F7" s="1">
        <v>35</v>
      </c>
      <c r="G7" s="1">
        <v>35</v>
      </c>
      <c r="H7" s="1">
        <v>35</v>
      </c>
      <c r="I7" s="1">
        <v>42</v>
      </c>
      <c r="J7" s="1">
        <v>42</v>
      </c>
      <c r="K7" s="1">
        <v>42</v>
      </c>
      <c r="L7" s="1">
        <v>42</v>
      </c>
      <c r="M7" s="1">
        <v>42</v>
      </c>
      <c r="N7" s="19">
        <v>42</v>
      </c>
    </row>
    <row r="8" spans="1:14" ht="15.6" x14ac:dyDescent="0.3">
      <c r="A8" s="47">
        <v>6</v>
      </c>
      <c r="B8" s="49">
        <v>10</v>
      </c>
      <c r="C8" s="23">
        <v>51</v>
      </c>
      <c r="D8" s="23">
        <v>57</v>
      </c>
      <c r="E8" s="23">
        <v>64</v>
      </c>
      <c r="F8" s="23">
        <v>78</v>
      </c>
      <c r="G8" s="23">
        <v>100</v>
      </c>
      <c r="H8" s="23">
        <v>132</v>
      </c>
      <c r="I8" s="23">
        <v>61</v>
      </c>
      <c r="J8" s="23">
        <v>67</v>
      </c>
      <c r="K8" s="23">
        <v>74</v>
      </c>
      <c r="L8" s="23">
        <v>88</v>
      </c>
      <c r="M8" s="23">
        <v>110</v>
      </c>
      <c r="N8" s="24">
        <v>142</v>
      </c>
    </row>
    <row r="9" spans="1:14" ht="16.2" thickBot="1" x14ac:dyDescent="0.35">
      <c r="A9" s="48"/>
      <c r="B9" s="50"/>
      <c r="C9" s="1">
        <v>42</v>
      </c>
      <c r="D9" s="1">
        <v>42</v>
      </c>
      <c r="E9" s="1">
        <v>42</v>
      </c>
      <c r="F9" s="1">
        <v>42</v>
      </c>
      <c r="G9" s="1">
        <v>42</v>
      </c>
      <c r="H9" s="1">
        <v>42</v>
      </c>
      <c r="I9" s="1">
        <v>52</v>
      </c>
      <c r="J9" s="1">
        <v>52</v>
      </c>
      <c r="K9" s="1">
        <v>52</v>
      </c>
      <c r="L9" s="1">
        <v>52</v>
      </c>
      <c r="M9" s="1">
        <v>52</v>
      </c>
      <c r="N9" s="19">
        <v>52</v>
      </c>
    </row>
    <row r="10" spans="1:14" ht="15.6" x14ac:dyDescent="0.3">
      <c r="A10" s="47">
        <v>10</v>
      </c>
      <c r="B10" s="49">
        <v>14</v>
      </c>
      <c r="C10" s="23">
        <v>61</v>
      </c>
      <c r="D10" s="23">
        <v>68</v>
      </c>
      <c r="E10" s="23">
        <v>77</v>
      </c>
      <c r="F10" s="23">
        <v>93</v>
      </c>
      <c r="G10" s="23">
        <v>120</v>
      </c>
      <c r="H10" s="23">
        <v>160</v>
      </c>
      <c r="I10" s="23">
        <v>75</v>
      </c>
      <c r="J10" s="23">
        <v>82</v>
      </c>
      <c r="K10" s="23">
        <v>91</v>
      </c>
      <c r="L10" s="23">
        <v>107</v>
      </c>
      <c r="M10" s="23">
        <v>134</v>
      </c>
      <c r="N10" s="24">
        <v>174</v>
      </c>
    </row>
    <row r="11" spans="1:14" ht="16.2" thickBot="1" x14ac:dyDescent="0.35">
      <c r="A11" s="48"/>
      <c r="B11" s="50"/>
      <c r="C11" s="1">
        <v>50</v>
      </c>
      <c r="D11" s="1">
        <v>50</v>
      </c>
      <c r="E11" s="1">
        <v>50</v>
      </c>
      <c r="F11" s="1">
        <v>50</v>
      </c>
      <c r="G11" s="1">
        <v>50</v>
      </c>
      <c r="H11" s="1">
        <v>50</v>
      </c>
      <c r="I11" s="1">
        <v>64</v>
      </c>
      <c r="J11" s="1">
        <v>64</v>
      </c>
      <c r="K11" s="1">
        <v>64</v>
      </c>
      <c r="L11" s="1">
        <v>64</v>
      </c>
      <c r="M11" s="1">
        <v>64</v>
      </c>
      <c r="N11" s="19">
        <v>64</v>
      </c>
    </row>
    <row r="12" spans="1:14" ht="15.6" x14ac:dyDescent="0.3">
      <c r="A12" s="47">
        <v>14</v>
      </c>
      <c r="B12" s="49">
        <v>18</v>
      </c>
      <c r="C12" s="23">
        <v>71</v>
      </c>
      <c r="D12" s="23">
        <v>78</v>
      </c>
      <c r="E12" s="23">
        <v>87</v>
      </c>
      <c r="F12" s="23">
        <v>103</v>
      </c>
      <c r="G12" s="23">
        <v>130</v>
      </c>
      <c r="H12" s="23">
        <v>170</v>
      </c>
      <c r="I12" s="23">
        <v>88</v>
      </c>
      <c r="J12" s="23">
        <v>95</v>
      </c>
      <c r="K12" s="23">
        <v>104</v>
      </c>
      <c r="L12" s="23">
        <v>120</v>
      </c>
      <c r="M12" s="23">
        <v>147</v>
      </c>
      <c r="N12" s="24">
        <v>187</v>
      </c>
    </row>
    <row r="13" spans="1:14" ht="16.2" thickBot="1" x14ac:dyDescent="0.35">
      <c r="A13" s="48"/>
      <c r="B13" s="50"/>
      <c r="C13" s="1">
        <v>60</v>
      </c>
      <c r="D13" s="1">
        <v>60</v>
      </c>
      <c r="E13" s="1">
        <v>60</v>
      </c>
      <c r="F13" s="1">
        <v>60</v>
      </c>
      <c r="G13" s="1">
        <v>60</v>
      </c>
      <c r="H13" s="1">
        <v>60</v>
      </c>
      <c r="I13" s="1">
        <v>77</v>
      </c>
      <c r="J13" s="1">
        <v>77</v>
      </c>
      <c r="K13" s="1">
        <v>77</v>
      </c>
      <c r="L13" s="1">
        <v>77</v>
      </c>
      <c r="M13" s="1">
        <v>77</v>
      </c>
      <c r="N13" s="19">
        <v>77</v>
      </c>
    </row>
    <row r="14" spans="1:14" ht="15.6" x14ac:dyDescent="0.3">
      <c r="A14" s="47">
        <v>18</v>
      </c>
      <c r="B14" s="49">
        <v>24</v>
      </c>
      <c r="C14" s="23">
        <v>86</v>
      </c>
      <c r="D14" s="23">
        <v>94</v>
      </c>
      <c r="E14" s="23">
        <v>106</v>
      </c>
      <c r="F14" s="23">
        <v>125</v>
      </c>
      <c r="G14" s="23">
        <v>157</v>
      </c>
      <c r="H14" s="23">
        <v>203</v>
      </c>
      <c r="I14" s="23">
        <v>111</v>
      </c>
      <c r="J14" s="23">
        <v>119</v>
      </c>
      <c r="K14" s="23">
        <v>131</v>
      </c>
      <c r="L14" s="23">
        <v>150</v>
      </c>
      <c r="M14" s="23">
        <v>182</v>
      </c>
      <c r="N14" s="24">
        <v>228</v>
      </c>
    </row>
    <row r="15" spans="1:14" ht="16.2" thickBot="1" x14ac:dyDescent="0.35">
      <c r="A15" s="48"/>
      <c r="B15" s="50"/>
      <c r="C15" s="1">
        <v>73</v>
      </c>
      <c r="D15" s="1">
        <v>73</v>
      </c>
      <c r="E15" s="1">
        <v>73</v>
      </c>
      <c r="F15" s="1">
        <v>73</v>
      </c>
      <c r="G15" s="1">
        <v>73</v>
      </c>
      <c r="H15" s="1">
        <v>73</v>
      </c>
      <c r="I15" s="1">
        <v>98</v>
      </c>
      <c r="J15" s="1">
        <v>98</v>
      </c>
      <c r="K15" s="1">
        <v>98</v>
      </c>
      <c r="L15" s="1">
        <v>98</v>
      </c>
      <c r="M15" s="1">
        <v>98</v>
      </c>
      <c r="N15" s="19">
        <v>98</v>
      </c>
    </row>
    <row r="16" spans="1:14" ht="15.6" x14ac:dyDescent="0.3">
      <c r="A16" s="47">
        <v>24</v>
      </c>
      <c r="B16" s="49">
        <v>30</v>
      </c>
      <c r="C16" s="23">
        <v>101</v>
      </c>
      <c r="D16" s="23">
        <v>109</v>
      </c>
      <c r="E16" s="23">
        <v>121</v>
      </c>
      <c r="F16" s="23">
        <v>140</v>
      </c>
      <c r="G16" s="23">
        <v>172</v>
      </c>
      <c r="H16" s="23">
        <v>218</v>
      </c>
      <c r="I16" s="23">
        <v>131</v>
      </c>
      <c r="J16" s="23">
        <v>139</v>
      </c>
      <c r="K16" s="23">
        <v>151</v>
      </c>
      <c r="L16" s="23">
        <v>170</v>
      </c>
      <c r="M16" s="23">
        <v>202</v>
      </c>
      <c r="N16" s="24">
        <v>248</v>
      </c>
    </row>
    <row r="17" spans="1:14" ht="16.2" thickBot="1" x14ac:dyDescent="0.35">
      <c r="A17" s="48"/>
      <c r="B17" s="50"/>
      <c r="C17" s="1">
        <v>88</v>
      </c>
      <c r="D17" s="1">
        <v>88</v>
      </c>
      <c r="E17" s="1">
        <v>88</v>
      </c>
      <c r="F17" s="1">
        <v>88</v>
      </c>
      <c r="G17" s="1">
        <v>88</v>
      </c>
      <c r="H17" s="1">
        <v>88</v>
      </c>
      <c r="I17" s="1">
        <v>118</v>
      </c>
      <c r="J17" s="1">
        <v>118</v>
      </c>
      <c r="K17" s="1">
        <v>118</v>
      </c>
      <c r="L17" s="1">
        <v>118</v>
      </c>
      <c r="M17" s="1">
        <v>118</v>
      </c>
      <c r="N17" s="19">
        <v>118</v>
      </c>
    </row>
    <row r="18" spans="1:14" ht="15.6" x14ac:dyDescent="0.3">
      <c r="A18" s="47">
        <v>30</v>
      </c>
      <c r="B18" s="49">
        <v>40</v>
      </c>
      <c r="C18" s="23">
        <v>128</v>
      </c>
      <c r="D18" s="23">
        <v>137</v>
      </c>
      <c r="E18" s="23">
        <v>151</v>
      </c>
      <c r="F18" s="23">
        <v>174</v>
      </c>
      <c r="G18" s="23">
        <v>212</v>
      </c>
      <c r="H18" s="23">
        <v>272</v>
      </c>
      <c r="I18" s="23">
        <v>164</v>
      </c>
      <c r="J18" s="23">
        <v>173</v>
      </c>
      <c r="K18" s="23">
        <v>187</v>
      </c>
      <c r="L18" s="23">
        <v>210</v>
      </c>
      <c r="M18" s="23">
        <v>248</v>
      </c>
      <c r="N18" s="24">
        <v>308</v>
      </c>
    </row>
    <row r="19" spans="1:14" ht="16.2" thickBot="1" x14ac:dyDescent="0.35">
      <c r="A19" s="48"/>
      <c r="B19" s="50"/>
      <c r="C19" s="1">
        <v>112</v>
      </c>
      <c r="D19" s="1">
        <v>112</v>
      </c>
      <c r="E19" s="1">
        <v>112</v>
      </c>
      <c r="F19" s="1">
        <v>112</v>
      </c>
      <c r="G19" s="1">
        <v>112</v>
      </c>
      <c r="H19" s="1">
        <v>112</v>
      </c>
      <c r="I19" s="1">
        <v>148</v>
      </c>
      <c r="J19" s="1">
        <v>148</v>
      </c>
      <c r="K19" s="1">
        <v>148</v>
      </c>
      <c r="L19" s="1">
        <v>148</v>
      </c>
      <c r="M19" s="1">
        <v>148</v>
      </c>
      <c r="N19" s="19">
        <v>148</v>
      </c>
    </row>
    <row r="20" spans="1:14" ht="15.6" x14ac:dyDescent="0.3">
      <c r="A20" s="47">
        <v>40</v>
      </c>
      <c r="B20" s="49">
        <v>50</v>
      </c>
      <c r="C20" s="23">
        <v>152</v>
      </c>
      <c r="D20" s="23">
        <v>161</v>
      </c>
      <c r="E20" s="23">
        <v>175</v>
      </c>
      <c r="F20" s="23">
        <v>198</v>
      </c>
      <c r="G20" s="23">
        <v>236</v>
      </c>
      <c r="H20" s="23">
        <v>296</v>
      </c>
      <c r="I20" s="23">
        <v>196</v>
      </c>
      <c r="J20" s="23">
        <v>205</v>
      </c>
      <c r="K20" s="23">
        <v>219</v>
      </c>
      <c r="L20" s="23">
        <v>242</v>
      </c>
      <c r="M20" s="23">
        <v>280</v>
      </c>
      <c r="N20" s="24">
        <v>340</v>
      </c>
    </row>
    <row r="21" spans="1:14" ht="16.2" thickBot="1" x14ac:dyDescent="0.35">
      <c r="A21" s="48"/>
      <c r="B21" s="50"/>
      <c r="C21" s="1">
        <v>136</v>
      </c>
      <c r="D21" s="1">
        <v>136</v>
      </c>
      <c r="E21" s="1">
        <v>136</v>
      </c>
      <c r="F21" s="1">
        <v>136</v>
      </c>
      <c r="G21" s="1">
        <v>136</v>
      </c>
      <c r="H21" s="1">
        <v>136</v>
      </c>
      <c r="I21" s="1">
        <v>180</v>
      </c>
      <c r="J21" s="1">
        <v>180</v>
      </c>
      <c r="K21" s="1">
        <v>180</v>
      </c>
      <c r="L21" s="1">
        <v>180</v>
      </c>
      <c r="M21" s="1">
        <v>180</v>
      </c>
      <c r="N21" s="19">
        <v>180</v>
      </c>
    </row>
    <row r="22" spans="1:14" ht="15.6" x14ac:dyDescent="0.3">
      <c r="A22" s="47">
        <v>50</v>
      </c>
      <c r="B22" s="49">
        <v>65</v>
      </c>
      <c r="C22" s="23">
        <v>191</v>
      </c>
      <c r="D22" s="23">
        <v>202</v>
      </c>
      <c r="E22" s="23">
        <v>218</v>
      </c>
      <c r="F22" s="23">
        <v>246</v>
      </c>
      <c r="G22" s="23">
        <v>292</v>
      </c>
      <c r="H22" s="23">
        <v>362</v>
      </c>
      <c r="I22" s="23">
        <v>245</v>
      </c>
      <c r="J22" s="23">
        <v>256</v>
      </c>
      <c r="K22" s="23">
        <v>272</v>
      </c>
      <c r="L22" s="23">
        <v>300</v>
      </c>
      <c r="M22" s="23">
        <v>346</v>
      </c>
      <c r="N22" s="24">
        <v>416</v>
      </c>
    </row>
    <row r="23" spans="1:14" ht="16.2" thickBot="1" x14ac:dyDescent="0.35">
      <c r="A23" s="48"/>
      <c r="B23" s="50"/>
      <c r="C23" s="1">
        <v>172</v>
      </c>
      <c r="D23" s="1">
        <v>172</v>
      </c>
      <c r="E23" s="1">
        <v>172</v>
      </c>
      <c r="F23" s="1">
        <v>172</v>
      </c>
      <c r="G23" s="1">
        <v>172</v>
      </c>
      <c r="H23" s="1">
        <v>172</v>
      </c>
      <c r="I23" s="1">
        <v>226</v>
      </c>
      <c r="J23" s="1">
        <v>226</v>
      </c>
      <c r="K23" s="1">
        <v>226</v>
      </c>
      <c r="L23" s="1">
        <v>226</v>
      </c>
      <c r="M23" s="1">
        <v>226</v>
      </c>
      <c r="N23" s="19">
        <v>226</v>
      </c>
    </row>
    <row r="24" spans="1:14" ht="15.6" x14ac:dyDescent="0.3">
      <c r="A24" s="47">
        <v>65</v>
      </c>
      <c r="B24" s="49">
        <v>80</v>
      </c>
      <c r="C24" s="23">
        <v>229</v>
      </c>
      <c r="D24" s="23">
        <v>240</v>
      </c>
      <c r="E24" s="23">
        <v>256</v>
      </c>
      <c r="F24" s="23">
        <v>284</v>
      </c>
      <c r="G24" s="23">
        <v>330</v>
      </c>
      <c r="H24" s="23">
        <v>400</v>
      </c>
      <c r="I24" s="23">
        <v>293</v>
      </c>
      <c r="J24" s="23">
        <v>304</v>
      </c>
      <c r="K24" s="23">
        <v>320</v>
      </c>
      <c r="L24" s="23">
        <v>348</v>
      </c>
      <c r="M24" s="23">
        <v>394</v>
      </c>
      <c r="N24" s="24">
        <v>464</v>
      </c>
    </row>
    <row r="25" spans="1:14" ht="16.2" thickBot="1" x14ac:dyDescent="0.35">
      <c r="A25" s="48"/>
      <c r="B25" s="50"/>
      <c r="C25" s="1">
        <v>210</v>
      </c>
      <c r="D25" s="1">
        <v>210</v>
      </c>
      <c r="E25" s="1">
        <v>210</v>
      </c>
      <c r="F25" s="1">
        <v>210</v>
      </c>
      <c r="G25" s="1">
        <v>210</v>
      </c>
      <c r="H25" s="1">
        <v>210</v>
      </c>
      <c r="I25" s="1">
        <v>274</v>
      </c>
      <c r="J25" s="1">
        <v>274</v>
      </c>
      <c r="K25" s="1">
        <v>274</v>
      </c>
      <c r="L25" s="1">
        <v>274</v>
      </c>
      <c r="M25" s="1">
        <v>274</v>
      </c>
      <c r="N25" s="19">
        <v>274</v>
      </c>
    </row>
    <row r="26" spans="1:14" ht="15.6" x14ac:dyDescent="0.3">
      <c r="A26" s="47">
        <v>80</v>
      </c>
      <c r="B26" s="49">
        <v>100</v>
      </c>
      <c r="C26" s="23">
        <v>280</v>
      </c>
      <c r="D26" s="23">
        <v>293</v>
      </c>
      <c r="E26" s="23">
        <v>312</v>
      </c>
      <c r="F26" s="23">
        <v>345</v>
      </c>
      <c r="G26" s="23">
        <v>398</v>
      </c>
      <c r="H26" s="23">
        <v>478</v>
      </c>
      <c r="I26" s="23">
        <v>357</v>
      </c>
      <c r="J26" s="23">
        <v>370</v>
      </c>
      <c r="K26" s="23">
        <v>389</v>
      </c>
      <c r="L26" s="23">
        <v>422</v>
      </c>
      <c r="M26" s="23">
        <v>475</v>
      </c>
      <c r="N26" s="24">
        <v>555</v>
      </c>
    </row>
    <row r="27" spans="1:14" ht="16.2" thickBot="1" x14ac:dyDescent="0.35">
      <c r="A27" s="48"/>
      <c r="B27" s="50"/>
      <c r="C27" s="1">
        <v>258</v>
      </c>
      <c r="D27" s="1">
        <v>258</v>
      </c>
      <c r="E27" s="1">
        <v>258</v>
      </c>
      <c r="F27" s="1">
        <v>258</v>
      </c>
      <c r="G27" s="1">
        <v>258</v>
      </c>
      <c r="H27" s="1">
        <v>258</v>
      </c>
      <c r="I27" s="1">
        <v>335</v>
      </c>
      <c r="J27" s="1">
        <v>335</v>
      </c>
      <c r="K27" s="1">
        <v>335</v>
      </c>
      <c r="L27" s="1">
        <v>335</v>
      </c>
      <c r="M27" s="1">
        <v>335</v>
      </c>
      <c r="N27" s="19">
        <v>335</v>
      </c>
    </row>
    <row r="28" spans="1:14" ht="15.6" x14ac:dyDescent="0.3">
      <c r="A28" s="47">
        <v>100</v>
      </c>
      <c r="B28" s="49">
        <v>120</v>
      </c>
      <c r="C28" s="23">
        <v>332</v>
      </c>
      <c r="D28" s="23">
        <v>345</v>
      </c>
      <c r="E28" s="23">
        <v>364</v>
      </c>
      <c r="F28" s="23">
        <v>397</v>
      </c>
      <c r="G28" s="23">
        <v>450</v>
      </c>
      <c r="H28" s="23">
        <v>530</v>
      </c>
      <c r="I28" s="23">
        <v>422</v>
      </c>
      <c r="J28" s="23">
        <v>435</v>
      </c>
      <c r="K28" s="23">
        <v>454</v>
      </c>
      <c r="L28" s="23">
        <v>487</v>
      </c>
      <c r="M28" s="23">
        <v>540</v>
      </c>
      <c r="N28" s="24">
        <v>620</v>
      </c>
    </row>
    <row r="29" spans="1:14" ht="16.2" thickBot="1" x14ac:dyDescent="0.35">
      <c r="A29" s="48"/>
      <c r="B29" s="50"/>
      <c r="C29" s="1">
        <v>310</v>
      </c>
      <c r="D29" s="1">
        <v>310</v>
      </c>
      <c r="E29" s="1">
        <v>310</v>
      </c>
      <c r="F29" s="1">
        <v>310</v>
      </c>
      <c r="G29" s="1">
        <v>310</v>
      </c>
      <c r="H29" s="1">
        <v>310</v>
      </c>
      <c r="I29" s="1">
        <v>400</v>
      </c>
      <c r="J29" s="1">
        <v>400</v>
      </c>
      <c r="K29" s="1">
        <v>400</v>
      </c>
      <c r="L29" s="1">
        <v>400</v>
      </c>
      <c r="M29" s="1">
        <v>400</v>
      </c>
      <c r="N29" s="19">
        <v>400</v>
      </c>
    </row>
    <row r="30" spans="1:14" ht="15.6" x14ac:dyDescent="0.3">
      <c r="A30" s="47">
        <v>120</v>
      </c>
      <c r="B30" s="49">
        <v>140</v>
      </c>
      <c r="C30" s="23">
        <v>390</v>
      </c>
      <c r="D30" s="23">
        <v>405</v>
      </c>
      <c r="E30" s="23">
        <v>428</v>
      </c>
      <c r="F30" s="23">
        <v>465</v>
      </c>
      <c r="G30" s="23">
        <v>525</v>
      </c>
      <c r="H30" s="23">
        <v>615</v>
      </c>
      <c r="I30" s="23">
        <v>495</v>
      </c>
      <c r="J30" s="23">
        <v>510</v>
      </c>
      <c r="K30" s="23">
        <v>533</v>
      </c>
      <c r="L30" s="23">
        <v>570</v>
      </c>
      <c r="M30" s="23">
        <v>630</v>
      </c>
      <c r="N30" s="24">
        <v>720</v>
      </c>
    </row>
    <row r="31" spans="1:14" ht="16.2" thickBot="1" x14ac:dyDescent="0.35">
      <c r="A31" s="48"/>
      <c r="B31" s="50"/>
      <c r="C31" s="1">
        <v>365</v>
      </c>
      <c r="D31" s="1">
        <v>365</v>
      </c>
      <c r="E31" s="1">
        <v>365</v>
      </c>
      <c r="F31" s="1">
        <v>365</v>
      </c>
      <c r="G31" s="1">
        <v>365</v>
      </c>
      <c r="H31" s="1">
        <v>365</v>
      </c>
      <c r="I31" s="1">
        <v>470</v>
      </c>
      <c r="J31" s="1">
        <v>470</v>
      </c>
      <c r="K31" s="1">
        <v>470</v>
      </c>
      <c r="L31" s="1">
        <v>470</v>
      </c>
      <c r="M31" s="1">
        <v>470</v>
      </c>
      <c r="N31" s="19">
        <v>470</v>
      </c>
    </row>
    <row r="32" spans="1:14" ht="15.6" x14ac:dyDescent="0.3">
      <c r="A32" s="47">
        <v>140</v>
      </c>
      <c r="B32" s="49">
        <v>160</v>
      </c>
      <c r="C32" s="23">
        <v>440</v>
      </c>
      <c r="D32" s="23">
        <v>455</v>
      </c>
      <c r="E32" s="23">
        <v>478</v>
      </c>
      <c r="F32" s="23">
        <v>515</v>
      </c>
      <c r="G32" s="23">
        <v>575</v>
      </c>
      <c r="H32" s="23">
        <v>665</v>
      </c>
      <c r="I32" s="23">
        <v>560</v>
      </c>
      <c r="J32" s="23">
        <v>575</v>
      </c>
      <c r="K32" s="23">
        <v>598</v>
      </c>
      <c r="L32" s="23">
        <v>635</v>
      </c>
      <c r="M32" s="23">
        <v>695</v>
      </c>
      <c r="N32" s="24">
        <v>785</v>
      </c>
    </row>
    <row r="33" spans="1:14" ht="16.2" thickBot="1" x14ac:dyDescent="0.35">
      <c r="A33" s="48"/>
      <c r="B33" s="50"/>
      <c r="C33" s="1">
        <v>415</v>
      </c>
      <c r="D33" s="1">
        <v>415</v>
      </c>
      <c r="E33" s="1">
        <v>415</v>
      </c>
      <c r="F33" s="1">
        <v>415</v>
      </c>
      <c r="G33" s="1">
        <v>415</v>
      </c>
      <c r="H33" s="1">
        <v>415</v>
      </c>
      <c r="I33" s="1">
        <v>535</v>
      </c>
      <c r="J33" s="1">
        <v>535</v>
      </c>
      <c r="K33" s="1">
        <v>535</v>
      </c>
      <c r="L33" s="1">
        <v>535</v>
      </c>
      <c r="M33" s="1">
        <v>535</v>
      </c>
      <c r="N33" s="19">
        <v>535</v>
      </c>
    </row>
    <row r="34" spans="1:14" ht="15.6" x14ac:dyDescent="0.3">
      <c r="A34" s="47">
        <v>160</v>
      </c>
      <c r="B34" s="49">
        <v>180</v>
      </c>
      <c r="C34" s="23">
        <v>490</v>
      </c>
      <c r="D34" s="23">
        <v>505</v>
      </c>
      <c r="E34" s="23">
        <v>528</v>
      </c>
      <c r="F34" s="23">
        <v>565</v>
      </c>
      <c r="G34" s="23">
        <v>625</v>
      </c>
      <c r="H34" s="23">
        <v>715</v>
      </c>
      <c r="I34" s="23">
        <v>625</v>
      </c>
      <c r="J34" s="23">
        <v>640</v>
      </c>
      <c r="K34" s="23">
        <v>663</v>
      </c>
      <c r="L34" s="23">
        <v>700</v>
      </c>
      <c r="M34" s="23">
        <v>760</v>
      </c>
      <c r="N34" s="24">
        <v>850</v>
      </c>
    </row>
    <row r="35" spans="1:14" ht="16.2" thickBot="1" x14ac:dyDescent="0.35">
      <c r="A35" s="48"/>
      <c r="B35" s="50"/>
      <c r="C35" s="1">
        <v>465</v>
      </c>
      <c r="D35" s="1">
        <v>465</v>
      </c>
      <c r="E35" s="1">
        <v>465</v>
      </c>
      <c r="F35" s="1">
        <v>465</v>
      </c>
      <c r="G35" s="1">
        <v>465</v>
      </c>
      <c r="H35" s="1">
        <v>465</v>
      </c>
      <c r="I35" s="1">
        <v>600</v>
      </c>
      <c r="J35" s="1">
        <v>600</v>
      </c>
      <c r="K35" s="1">
        <v>600</v>
      </c>
      <c r="L35" s="1">
        <v>600</v>
      </c>
      <c r="M35" s="1">
        <v>600</v>
      </c>
      <c r="N35" s="19">
        <v>600</v>
      </c>
    </row>
    <row r="36" spans="1:14" ht="15.6" x14ac:dyDescent="0.3">
      <c r="A36" s="47">
        <v>180</v>
      </c>
      <c r="B36" s="49">
        <v>200</v>
      </c>
      <c r="C36" s="23">
        <v>549</v>
      </c>
      <c r="D36" s="23">
        <v>566</v>
      </c>
      <c r="E36" s="23">
        <v>592</v>
      </c>
      <c r="F36" s="23">
        <v>635</v>
      </c>
      <c r="G36" s="23">
        <v>705</v>
      </c>
      <c r="H36" s="23">
        <v>810</v>
      </c>
      <c r="I36" s="23">
        <v>699</v>
      </c>
      <c r="J36" s="23">
        <v>716</v>
      </c>
      <c r="K36" s="23">
        <v>742</v>
      </c>
      <c r="L36" s="23">
        <v>785</v>
      </c>
      <c r="M36" s="23">
        <v>855</v>
      </c>
      <c r="N36" s="24">
        <v>960</v>
      </c>
    </row>
    <row r="37" spans="1:14" ht="16.2" thickBot="1" x14ac:dyDescent="0.35">
      <c r="A37" s="48"/>
      <c r="B37" s="50"/>
      <c r="C37" s="1">
        <v>520</v>
      </c>
      <c r="D37" s="1">
        <v>520</v>
      </c>
      <c r="E37" s="1">
        <v>520</v>
      </c>
      <c r="F37" s="1">
        <v>520</v>
      </c>
      <c r="G37" s="1">
        <v>520</v>
      </c>
      <c r="H37" s="1">
        <v>520</v>
      </c>
      <c r="I37" s="1">
        <v>670</v>
      </c>
      <c r="J37" s="1">
        <v>670</v>
      </c>
      <c r="K37" s="1">
        <v>670</v>
      </c>
      <c r="L37" s="1">
        <v>670</v>
      </c>
      <c r="M37" s="1">
        <v>670</v>
      </c>
      <c r="N37" s="19">
        <v>670</v>
      </c>
    </row>
    <row r="38" spans="1:14" ht="15.6" x14ac:dyDescent="0.3">
      <c r="A38" s="47">
        <v>200</v>
      </c>
      <c r="B38" s="49">
        <v>225</v>
      </c>
      <c r="C38" s="23">
        <v>604</v>
      </c>
      <c r="D38" s="23">
        <v>621</v>
      </c>
      <c r="E38" s="23">
        <v>647</v>
      </c>
      <c r="F38" s="23">
        <v>690</v>
      </c>
      <c r="G38" s="23">
        <v>760</v>
      </c>
      <c r="H38" s="23">
        <v>865</v>
      </c>
      <c r="I38" s="23">
        <v>769</v>
      </c>
      <c r="J38" s="23">
        <v>786</v>
      </c>
      <c r="K38" s="23">
        <v>812</v>
      </c>
      <c r="L38" s="23">
        <v>855</v>
      </c>
      <c r="M38" s="23">
        <v>925</v>
      </c>
      <c r="N38" s="40">
        <v>1030</v>
      </c>
    </row>
    <row r="39" spans="1:14" ht="16.2" thickBot="1" x14ac:dyDescent="0.35">
      <c r="A39" s="48"/>
      <c r="B39" s="50"/>
      <c r="C39" s="1">
        <v>575</v>
      </c>
      <c r="D39" s="1">
        <v>575</v>
      </c>
      <c r="E39" s="1">
        <v>575</v>
      </c>
      <c r="F39" s="1">
        <v>575</v>
      </c>
      <c r="G39" s="1">
        <v>575</v>
      </c>
      <c r="H39" s="1">
        <v>575</v>
      </c>
      <c r="I39" s="1">
        <v>740</v>
      </c>
      <c r="J39" s="1">
        <v>740</v>
      </c>
      <c r="K39" s="1">
        <v>740</v>
      </c>
      <c r="L39" s="1">
        <v>740</v>
      </c>
      <c r="M39" s="1">
        <v>740</v>
      </c>
      <c r="N39" s="19">
        <v>740</v>
      </c>
    </row>
    <row r="40" spans="1:14" ht="15.6" x14ac:dyDescent="0.3">
      <c r="A40" s="47">
        <v>225</v>
      </c>
      <c r="B40" s="49">
        <v>250</v>
      </c>
      <c r="C40" s="23">
        <v>669</v>
      </c>
      <c r="D40" s="23">
        <v>686</v>
      </c>
      <c r="E40" s="23">
        <v>712</v>
      </c>
      <c r="F40" s="23">
        <v>755</v>
      </c>
      <c r="G40" s="23">
        <v>825</v>
      </c>
      <c r="H40" s="23">
        <v>930</v>
      </c>
      <c r="I40" s="23">
        <v>849</v>
      </c>
      <c r="J40" s="23">
        <v>866</v>
      </c>
      <c r="K40" s="23">
        <v>892</v>
      </c>
      <c r="L40" s="23">
        <v>935</v>
      </c>
      <c r="M40" s="41">
        <v>1005</v>
      </c>
      <c r="N40" s="40">
        <v>1100</v>
      </c>
    </row>
    <row r="41" spans="1:14" ht="16.2" thickBot="1" x14ac:dyDescent="0.35">
      <c r="A41" s="48"/>
      <c r="B41" s="50"/>
      <c r="C41" s="1">
        <v>640</v>
      </c>
      <c r="D41" s="1">
        <v>640</v>
      </c>
      <c r="E41" s="1">
        <v>640</v>
      </c>
      <c r="F41" s="1">
        <v>640</v>
      </c>
      <c r="G41" s="1">
        <v>640</v>
      </c>
      <c r="H41" s="1">
        <v>640</v>
      </c>
      <c r="I41" s="1">
        <v>820</v>
      </c>
      <c r="J41" s="1">
        <v>820</v>
      </c>
      <c r="K41" s="1">
        <v>820</v>
      </c>
      <c r="L41" s="1">
        <v>820</v>
      </c>
      <c r="M41" s="1">
        <v>820</v>
      </c>
      <c r="N41" s="19">
        <v>820</v>
      </c>
    </row>
    <row r="42" spans="1:14" ht="15.6" x14ac:dyDescent="0.3">
      <c r="A42" s="47">
        <v>250</v>
      </c>
      <c r="B42" s="49">
        <v>280</v>
      </c>
      <c r="C42" s="23">
        <v>742</v>
      </c>
      <c r="D42" s="23">
        <v>762</v>
      </c>
      <c r="E42" s="23">
        <v>791</v>
      </c>
      <c r="F42" s="23">
        <v>840</v>
      </c>
      <c r="G42" s="23">
        <v>920</v>
      </c>
      <c r="H42" s="41">
        <v>1030</v>
      </c>
      <c r="I42" s="23">
        <v>952</v>
      </c>
      <c r="J42" s="23">
        <v>972</v>
      </c>
      <c r="K42" s="41">
        <v>1001</v>
      </c>
      <c r="L42" s="41">
        <v>1050</v>
      </c>
      <c r="M42" s="41">
        <v>1130</v>
      </c>
      <c r="N42" s="40">
        <v>1240</v>
      </c>
    </row>
    <row r="43" spans="1:14" ht="16.2" thickBot="1" x14ac:dyDescent="0.35">
      <c r="A43" s="48"/>
      <c r="B43" s="50"/>
      <c r="C43" s="1">
        <v>710</v>
      </c>
      <c r="D43" s="1">
        <v>710</v>
      </c>
      <c r="E43" s="1">
        <v>710</v>
      </c>
      <c r="F43" s="1">
        <v>710</v>
      </c>
      <c r="G43" s="1">
        <v>710</v>
      </c>
      <c r="H43" s="1">
        <v>710</v>
      </c>
      <c r="I43" s="1">
        <v>920</v>
      </c>
      <c r="J43" s="1">
        <v>920</v>
      </c>
      <c r="K43" s="1">
        <v>920</v>
      </c>
      <c r="L43" s="1">
        <v>920</v>
      </c>
      <c r="M43" s="1">
        <v>920</v>
      </c>
      <c r="N43" s="19">
        <v>920</v>
      </c>
    </row>
    <row r="44" spans="1:14" ht="15.6" x14ac:dyDescent="0.3">
      <c r="A44" s="47">
        <v>280</v>
      </c>
      <c r="B44" s="49">
        <v>315</v>
      </c>
      <c r="C44" s="23">
        <v>822</v>
      </c>
      <c r="D44" s="23">
        <v>842</v>
      </c>
      <c r="E44" s="23">
        <v>871</v>
      </c>
      <c r="F44" s="23">
        <v>920</v>
      </c>
      <c r="G44" s="41">
        <v>1000</v>
      </c>
      <c r="H44" s="41">
        <v>1110</v>
      </c>
      <c r="I44" s="41">
        <v>1032</v>
      </c>
      <c r="J44" s="41">
        <v>1052</v>
      </c>
      <c r="K44" s="41">
        <v>1081</v>
      </c>
      <c r="L44" s="41">
        <v>1130</v>
      </c>
      <c r="M44" s="41">
        <v>1210</v>
      </c>
      <c r="N44" s="40">
        <v>1320</v>
      </c>
    </row>
    <row r="45" spans="1:14" ht="16.2" thickBot="1" x14ac:dyDescent="0.35">
      <c r="A45" s="48"/>
      <c r="B45" s="50"/>
      <c r="C45" s="1">
        <v>790</v>
      </c>
      <c r="D45" s="1">
        <v>790</v>
      </c>
      <c r="E45" s="1">
        <v>790</v>
      </c>
      <c r="F45" s="1">
        <v>790</v>
      </c>
      <c r="G45" s="1">
        <v>790</v>
      </c>
      <c r="H45" s="1">
        <v>790</v>
      </c>
      <c r="I45" s="28">
        <v>1000</v>
      </c>
      <c r="J45" s="28">
        <v>1000</v>
      </c>
      <c r="K45" s="28">
        <v>1000</v>
      </c>
      <c r="L45" s="28">
        <v>1000</v>
      </c>
      <c r="M45" s="28">
        <v>1000</v>
      </c>
      <c r="N45" s="27">
        <v>1000</v>
      </c>
    </row>
    <row r="46" spans="1:14" ht="15.6" x14ac:dyDescent="0.3">
      <c r="A46" s="47">
        <v>315</v>
      </c>
      <c r="B46" s="49">
        <v>355</v>
      </c>
      <c r="C46" s="23">
        <v>936</v>
      </c>
      <c r="D46" s="23">
        <v>957</v>
      </c>
      <c r="E46" s="23">
        <v>989</v>
      </c>
      <c r="F46" s="41">
        <v>1040</v>
      </c>
      <c r="G46" s="41">
        <v>1130</v>
      </c>
      <c r="H46" s="41">
        <v>1260</v>
      </c>
      <c r="I46" s="41">
        <v>1186</v>
      </c>
      <c r="J46" s="41">
        <v>1207</v>
      </c>
      <c r="K46" s="41">
        <v>1239</v>
      </c>
      <c r="L46" s="41">
        <v>1290</v>
      </c>
      <c r="M46" s="41">
        <v>1380</v>
      </c>
      <c r="N46" s="40">
        <v>1510</v>
      </c>
    </row>
    <row r="47" spans="1:14" ht="16.2" thickBot="1" x14ac:dyDescent="0.35">
      <c r="A47" s="48"/>
      <c r="B47" s="50"/>
      <c r="C47" s="1">
        <v>900</v>
      </c>
      <c r="D47" s="1">
        <v>900</v>
      </c>
      <c r="E47" s="1">
        <v>900</v>
      </c>
      <c r="F47" s="1">
        <v>900</v>
      </c>
      <c r="G47" s="1">
        <v>900</v>
      </c>
      <c r="H47" s="1">
        <v>900</v>
      </c>
      <c r="I47" s="28">
        <v>1150</v>
      </c>
      <c r="J47" s="28">
        <v>1150</v>
      </c>
      <c r="K47" s="28">
        <v>1150</v>
      </c>
      <c r="L47" s="28">
        <v>1150</v>
      </c>
      <c r="M47" s="28">
        <v>1150</v>
      </c>
      <c r="N47" s="27">
        <v>1150</v>
      </c>
    </row>
    <row r="48" spans="1:14" ht="15.6" x14ac:dyDescent="0.3">
      <c r="A48" s="47">
        <v>355</v>
      </c>
      <c r="B48" s="49">
        <v>400</v>
      </c>
      <c r="C48" s="41">
        <v>1036</v>
      </c>
      <c r="D48" s="41">
        <v>1057</v>
      </c>
      <c r="E48" s="41">
        <v>1089</v>
      </c>
      <c r="F48" s="41">
        <v>1140</v>
      </c>
      <c r="G48" s="41">
        <v>1230</v>
      </c>
      <c r="H48" s="41">
        <v>1360</v>
      </c>
      <c r="I48" s="41">
        <v>1336</v>
      </c>
      <c r="J48" s="41">
        <v>1357</v>
      </c>
      <c r="K48" s="41">
        <v>1389</v>
      </c>
      <c r="L48" s="41">
        <v>1440</v>
      </c>
      <c r="M48" s="41">
        <v>1530</v>
      </c>
      <c r="N48" s="40">
        <v>1660</v>
      </c>
    </row>
    <row r="49" spans="1:14" ht="16.2" thickBot="1" x14ac:dyDescent="0.35">
      <c r="A49" s="48"/>
      <c r="B49" s="50"/>
      <c r="C49" s="28">
        <v>1000</v>
      </c>
      <c r="D49" s="28">
        <v>1000</v>
      </c>
      <c r="E49" s="28">
        <v>1000</v>
      </c>
      <c r="F49" s="28">
        <v>1000</v>
      </c>
      <c r="G49" s="28">
        <v>1000</v>
      </c>
      <c r="H49" s="28">
        <v>1000</v>
      </c>
      <c r="I49" s="28">
        <v>1300</v>
      </c>
      <c r="J49" s="28">
        <v>1300</v>
      </c>
      <c r="K49" s="28">
        <v>1300</v>
      </c>
      <c r="L49" s="28">
        <v>1300</v>
      </c>
      <c r="M49" s="28">
        <v>1300</v>
      </c>
      <c r="N49" s="27">
        <v>1300</v>
      </c>
    </row>
    <row r="50" spans="1:14" ht="15.6" x14ac:dyDescent="0.3">
      <c r="A50" s="47">
        <v>400</v>
      </c>
      <c r="B50" s="49">
        <v>450</v>
      </c>
      <c r="C50" s="41">
        <v>1140</v>
      </c>
      <c r="D50" s="41">
        <v>1163</v>
      </c>
      <c r="E50" s="41">
        <v>1197</v>
      </c>
      <c r="F50" s="41">
        <v>1255</v>
      </c>
      <c r="G50" s="41">
        <v>1350</v>
      </c>
      <c r="H50" s="41">
        <v>1500</v>
      </c>
      <c r="I50" s="41">
        <v>1490</v>
      </c>
      <c r="J50" s="41">
        <v>1513</v>
      </c>
      <c r="K50" s="41">
        <v>1547</v>
      </c>
      <c r="L50" s="41">
        <v>1605</v>
      </c>
      <c r="M50" s="41">
        <v>1700</v>
      </c>
      <c r="N50" s="40">
        <v>1850</v>
      </c>
    </row>
    <row r="51" spans="1:14" ht="16.2" thickBot="1" x14ac:dyDescent="0.35">
      <c r="A51" s="48"/>
      <c r="B51" s="50"/>
      <c r="C51" s="28">
        <v>1100</v>
      </c>
      <c r="D51" s="28">
        <v>1100</v>
      </c>
      <c r="E51" s="28">
        <v>1100</v>
      </c>
      <c r="F51" s="28">
        <v>1100</v>
      </c>
      <c r="G51" s="28">
        <v>1100</v>
      </c>
      <c r="H51" s="28">
        <v>1100</v>
      </c>
      <c r="I51" s="28">
        <v>1450</v>
      </c>
      <c r="J51" s="28">
        <v>1450</v>
      </c>
      <c r="K51" s="28">
        <v>1450</v>
      </c>
      <c r="L51" s="28">
        <v>1450</v>
      </c>
      <c r="M51" s="28">
        <v>1450</v>
      </c>
      <c r="N51" s="27">
        <v>1450</v>
      </c>
    </row>
    <row r="52" spans="1:14" ht="15.6" x14ac:dyDescent="0.3">
      <c r="A52" s="47">
        <v>450</v>
      </c>
      <c r="B52" s="49">
        <v>500</v>
      </c>
      <c r="C52" s="41">
        <v>1290</v>
      </c>
      <c r="D52" s="41">
        <v>1313</v>
      </c>
      <c r="E52" s="41">
        <v>1347</v>
      </c>
      <c r="F52" s="41">
        <v>1405</v>
      </c>
      <c r="G52" s="41">
        <v>1500</v>
      </c>
      <c r="H52" s="41">
        <v>1650</v>
      </c>
      <c r="I52" s="41">
        <v>1640</v>
      </c>
      <c r="J52" s="41">
        <v>1663</v>
      </c>
      <c r="K52" s="41">
        <v>1697</v>
      </c>
      <c r="L52" s="41">
        <v>1755</v>
      </c>
      <c r="M52" s="41">
        <v>1850</v>
      </c>
      <c r="N52" s="40">
        <v>2000</v>
      </c>
    </row>
    <row r="53" spans="1:14" ht="16.2" thickBot="1" x14ac:dyDescent="0.35">
      <c r="A53" s="48"/>
      <c r="B53" s="50"/>
      <c r="C53" s="28">
        <v>1250</v>
      </c>
      <c r="D53" s="28">
        <v>1250</v>
      </c>
      <c r="E53" s="28">
        <v>1250</v>
      </c>
      <c r="F53" s="28">
        <v>1250</v>
      </c>
      <c r="G53" s="28">
        <v>1250</v>
      </c>
      <c r="H53" s="28">
        <v>1250</v>
      </c>
      <c r="I53" s="28">
        <v>1600</v>
      </c>
      <c r="J53" s="28">
        <v>1600</v>
      </c>
      <c r="K53" s="28">
        <v>1600</v>
      </c>
      <c r="L53" s="28">
        <v>1600</v>
      </c>
      <c r="M53" s="28">
        <v>1600</v>
      </c>
      <c r="N53" s="27">
        <v>1600</v>
      </c>
    </row>
    <row r="54" spans="1:14" ht="16.2" thickBot="1" x14ac:dyDescent="0.35">
      <c r="A54" s="127" t="s">
        <v>50</v>
      </c>
      <c r="B54" s="84"/>
      <c r="C54" s="84"/>
      <c r="D54" s="84"/>
      <c r="E54" s="84"/>
      <c r="F54" s="84"/>
      <c r="G54" s="84"/>
      <c r="H54" s="84"/>
      <c r="I54" s="84"/>
      <c r="J54" s="84"/>
      <c r="K54" s="84"/>
      <c r="L54" s="84"/>
      <c r="M54" s="84"/>
      <c r="N54" s="85"/>
    </row>
    <row r="55" spans="1:14" ht="15.6" thickTop="1" x14ac:dyDescent="0.3"/>
  </sheetData>
  <mergeCells count="55">
    <mergeCell ref="A54:N54"/>
    <mergeCell ref="A48:A49"/>
    <mergeCell ref="B48:B49"/>
    <mergeCell ref="A50:A51"/>
    <mergeCell ref="B50:B51"/>
    <mergeCell ref="A52:A53"/>
    <mergeCell ref="B52:B53"/>
    <mergeCell ref="A42:A43"/>
    <mergeCell ref="B42:B43"/>
    <mergeCell ref="A44:A45"/>
    <mergeCell ref="B44:B45"/>
    <mergeCell ref="A46:A47"/>
    <mergeCell ref="B46:B47"/>
    <mergeCell ref="A36:A37"/>
    <mergeCell ref="B36:B37"/>
    <mergeCell ref="A38:A39"/>
    <mergeCell ref="B38:B39"/>
    <mergeCell ref="A40:A41"/>
    <mergeCell ref="B40:B41"/>
    <mergeCell ref="A30:A31"/>
    <mergeCell ref="B30:B31"/>
    <mergeCell ref="A32:A33"/>
    <mergeCell ref="B32:B33"/>
    <mergeCell ref="A34:A35"/>
    <mergeCell ref="B34:B35"/>
    <mergeCell ref="A24:A25"/>
    <mergeCell ref="B24:B25"/>
    <mergeCell ref="A26:A27"/>
    <mergeCell ref="B26:B27"/>
    <mergeCell ref="A28:A29"/>
    <mergeCell ref="B28:B29"/>
    <mergeCell ref="A18:A19"/>
    <mergeCell ref="B18:B19"/>
    <mergeCell ref="A20:A21"/>
    <mergeCell ref="B20:B21"/>
    <mergeCell ref="A22:A23"/>
    <mergeCell ref="B22:B23"/>
    <mergeCell ref="A12:A13"/>
    <mergeCell ref="B12:B13"/>
    <mergeCell ref="A14:A15"/>
    <mergeCell ref="B14:B15"/>
    <mergeCell ref="A16:A17"/>
    <mergeCell ref="B16:B17"/>
    <mergeCell ref="A6:A7"/>
    <mergeCell ref="B6:B7"/>
    <mergeCell ref="A8:A9"/>
    <mergeCell ref="B8:B9"/>
    <mergeCell ref="A10:A11"/>
    <mergeCell ref="B10:B11"/>
    <mergeCell ref="A1:B1"/>
    <mergeCell ref="A2:B2"/>
    <mergeCell ref="C1:H2"/>
    <mergeCell ref="I1:N2"/>
    <mergeCell ref="A4:A5"/>
    <mergeCell ref="B4:B5"/>
  </mergeCells>
  <phoneticPr fontId="7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13981-C28F-4A8D-90CF-FC506601CA58}">
  <dimension ref="A1:L55"/>
  <sheetViews>
    <sheetView topLeftCell="A28" workbookViewId="0">
      <selection activeCell="T50" sqref="T50"/>
    </sheetView>
  </sheetViews>
  <sheetFormatPr defaultRowHeight="15" x14ac:dyDescent="0.3"/>
  <cols>
    <col min="1" max="2" width="9.125" bestFit="1" customWidth="1"/>
    <col min="3" max="10" width="9.25" bestFit="1" customWidth="1"/>
    <col min="11" max="12" width="9.125" bestFit="1" customWidth="1"/>
  </cols>
  <sheetData>
    <row r="1" spans="1:12" ht="16.2" thickTop="1" x14ac:dyDescent="0.3">
      <c r="A1" s="65" t="s">
        <v>0</v>
      </c>
      <c r="B1" s="66"/>
      <c r="C1" s="51" t="s">
        <v>51</v>
      </c>
      <c r="D1" s="52"/>
      <c r="E1" s="52"/>
      <c r="F1" s="52"/>
      <c r="G1" s="63"/>
      <c r="H1" s="51" t="s">
        <v>52</v>
      </c>
      <c r="I1" s="52"/>
      <c r="J1" s="52"/>
      <c r="K1" s="52"/>
      <c r="L1" s="53"/>
    </row>
    <row r="2" spans="1:12" ht="16.2" thickBot="1" x14ac:dyDescent="0.35">
      <c r="A2" s="61" t="s">
        <v>1</v>
      </c>
      <c r="B2" s="62"/>
      <c r="C2" s="54"/>
      <c r="D2" s="55"/>
      <c r="E2" s="55"/>
      <c r="F2" s="55"/>
      <c r="G2" s="64"/>
      <c r="H2" s="54"/>
      <c r="I2" s="55"/>
      <c r="J2" s="55"/>
      <c r="K2" s="55"/>
      <c r="L2" s="56"/>
    </row>
    <row r="3" spans="1:12" ht="16.2" thickBot="1" x14ac:dyDescent="0.35">
      <c r="A3" s="21" t="s">
        <v>3</v>
      </c>
      <c r="B3" s="20" t="s">
        <v>4</v>
      </c>
      <c r="C3" s="2">
        <v>7</v>
      </c>
      <c r="D3" s="2">
        <v>8</v>
      </c>
      <c r="E3" s="2">
        <v>9</v>
      </c>
      <c r="F3" s="2">
        <v>10</v>
      </c>
      <c r="G3" s="2">
        <v>11</v>
      </c>
      <c r="H3" s="2">
        <v>7</v>
      </c>
      <c r="I3" s="2">
        <v>8</v>
      </c>
      <c r="J3" s="2">
        <v>9</v>
      </c>
      <c r="K3" s="2">
        <v>10</v>
      </c>
      <c r="L3" s="3">
        <v>11</v>
      </c>
    </row>
    <row r="4" spans="1:12" ht="15.6" x14ac:dyDescent="0.3">
      <c r="A4" s="73" t="s">
        <v>5</v>
      </c>
      <c r="B4" s="49">
        <v>3</v>
      </c>
      <c r="C4" s="23">
        <v>50</v>
      </c>
      <c r="D4" s="23">
        <v>54</v>
      </c>
      <c r="E4" s="23">
        <v>65</v>
      </c>
      <c r="F4" s="23">
        <v>80</v>
      </c>
      <c r="G4" s="23">
        <v>100</v>
      </c>
      <c r="H4" s="23">
        <v>70</v>
      </c>
      <c r="I4" s="23">
        <v>74</v>
      </c>
      <c r="J4" s="23">
        <v>85</v>
      </c>
      <c r="K4" s="23">
        <v>100</v>
      </c>
      <c r="L4" s="24">
        <v>120</v>
      </c>
    </row>
    <row r="5" spans="1:12" ht="16.2" thickBot="1" x14ac:dyDescent="0.35">
      <c r="A5" s="74"/>
      <c r="B5" s="50"/>
      <c r="C5" s="1">
        <v>40</v>
      </c>
      <c r="D5" s="1">
        <v>40</v>
      </c>
      <c r="E5" s="1">
        <v>40</v>
      </c>
      <c r="F5" s="1">
        <v>40</v>
      </c>
      <c r="G5" s="1">
        <v>40</v>
      </c>
      <c r="H5" s="1">
        <v>60</v>
      </c>
      <c r="I5" s="1">
        <v>60</v>
      </c>
      <c r="J5" s="1">
        <v>60</v>
      </c>
      <c r="K5" s="1">
        <v>60</v>
      </c>
      <c r="L5" s="19">
        <v>60</v>
      </c>
    </row>
    <row r="6" spans="1:12" ht="15.6" x14ac:dyDescent="0.3">
      <c r="A6" s="47">
        <v>3</v>
      </c>
      <c r="B6" s="49">
        <v>6</v>
      </c>
      <c r="C6" s="23">
        <v>62</v>
      </c>
      <c r="D6" s="23">
        <v>68</v>
      </c>
      <c r="E6" s="23">
        <v>80</v>
      </c>
      <c r="F6" s="23">
        <v>98</v>
      </c>
      <c r="G6" s="23">
        <v>125</v>
      </c>
      <c r="H6" s="23">
        <v>92</v>
      </c>
      <c r="I6" s="23">
        <v>98</v>
      </c>
      <c r="J6" s="23">
        <v>110</v>
      </c>
      <c r="K6" s="23">
        <v>128</v>
      </c>
      <c r="L6" s="24">
        <v>155</v>
      </c>
    </row>
    <row r="7" spans="1:12" ht="16.2" thickBot="1" x14ac:dyDescent="0.35">
      <c r="A7" s="48"/>
      <c r="B7" s="50"/>
      <c r="C7" s="1">
        <v>50</v>
      </c>
      <c r="D7" s="1">
        <v>50</v>
      </c>
      <c r="E7" s="1">
        <v>50</v>
      </c>
      <c r="F7" s="1">
        <v>50</v>
      </c>
      <c r="G7" s="1">
        <v>50</v>
      </c>
      <c r="H7" s="1">
        <v>80</v>
      </c>
      <c r="I7" s="1">
        <v>80</v>
      </c>
      <c r="J7" s="1">
        <v>80</v>
      </c>
      <c r="K7" s="1">
        <v>80</v>
      </c>
      <c r="L7" s="19">
        <v>80</v>
      </c>
    </row>
    <row r="8" spans="1:12" ht="15.6" x14ac:dyDescent="0.3">
      <c r="A8" s="47">
        <v>6</v>
      </c>
      <c r="B8" s="49">
        <v>10</v>
      </c>
      <c r="C8" s="23">
        <v>82</v>
      </c>
      <c r="D8" s="23">
        <v>89</v>
      </c>
      <c r="E8" s="23">
        <v>103</v>
      </c>
      <c r="F8" s="23">
        <v>125</v>
      </c>
      <c r="G8" s="23">
        <v>157</v>
      </c>
      <c r="H8" s="23">
        <v>112</v>
      </c>
      <c r="I8" s="23">
        <v>119</v>
      </c>
      <c r="J8" s="23">
        <v>133</v>
      </c>
      <c r="K8" s="23">
        <v>155</v>
      </c>
      <c r="L8" s="24">
        <v>187</v>
      </c>
    </row>
    <row r="9" spans="1:12" ht="16.2" thickBot="1" x14ac:dyDescent="0.35">
      <c r="A9" s="48"/>
      <c r="B9" s="50"/>
      <c r="C9" s="1">
        <v>67</v>
      </c>
      <c r="D9" s="1">
        <v>67</v>
      </c>
      <c r="E9" s="1">
        <v>67</v>
      </c>
      <c r="F9" s="1">
        <v>67</v>
      </c>
      <c r="G9" s="1">
        <v>67</v>
      </c>
      <c r="H9" s="1">
        <v>97</v>
      </c>
      <c r="I9" s="1">
        <v>97</v>
      </c>
      <c r="J9" s="1">
        <v>97</v>
      </c>
      <c r="K9" s="1">
        <v>97</v>
      </c>
      <c r="L9" s="19">
        <v>97</v>
      </c>
    </row>
    <row r="10" spans="1:12" ht="15.6" x14ac:dyDescent="0.3">
      <c r="A10" s="47">
        <v>10</v>
      </c>
      <c r="B10" s="49">
        <v>14</v>
      </c>
      <c r="C10" s="23">
        <v>108</v>
      </c>
      <c r="D10" s="23">
        <v>117</v>
      </c>
      <c r="E10" s="23">
        <v>133</v>
      </c>
      <c r="F10" s="23">
        <v>160</v>
      </c>
      <c r="G10" s="23">
        <v>200</v>
      </c>
      <c r="H10" s="23">
        <v>148</v>
      </c>
      <c r="I10" s="23">
        <v>157</v>
      </c>
      <c r="J10" s="23">
        <v>173</v>
      </c>
      <c r="K10" s="23">
        <v>200</v>
      </c>
      <c r="L10" s="24">
        <v>240</v>
      </c>
    </row>
    <row r="11" spans="1:12" ht="16.2" thickBot="1" x14ac:dyDescent="0.35">
      <c r="A11" s="48"/>
      <c r="B11" s="50"/>
      <c r="C11" s="1">
        <v>90</v>
      </c>
      <c r="D11" s="1">
        <v>90</v>
      </c>
      <c r="E11" s="1">
        <v>90</v>
      </c>
      <c r="F11" s="1">
        <v>90</v>
      </c>
      <c r="G11" s="1">
        <v>90</v>
      </c>
      <c r="H11" s="1">
        <v>130</v>
      </c>
      <c r="I11" s="1">
        <v>130</v>
      </c>
      <c r="J11" s="1">
        <v>130</v>
      </c>
      <c r="K11" s="1">
        <v>130</v>
      </c>
      <c r="L11" s="19">
        <v>130</v>
      </c>
    </row>
    <row r="12" spans="1:12" ht="15.6" x14ac:dyDescent="0.3">
      <c r="A12" s="47">
        <v>14</v>
      </c>
      <c r="B12" s="49">
        <v>18</v>
      </c>
      <c r="C12" s="23">
        <v>126</v>
      </c>
      <c r="D12" s="23">
        <v>135</v>
      </c>
      <c r="E12" s="23">
        <v>151</v>
      </c>
      <c r="F12" s="23">
        <v>178</v>
      </c>
      <c r="G12" s="23">
        <v>218</v>
      </c>
      <c r="H12" s="23">
        <v>168</v>
      </c>
      <c r="I12" s="23">
        <v>177</v>
      </c>
      <c r="J12" s="23">
        <v>193</v>
      </c>
      <c r="K12" s="23">
        <v>220</v>
      </c>
      <c r="L12" s="24">
        <v>260</v>
      </c>
    </row>
    <row r="13" spans="1:12" ht="16.2" thickBot="1" x14ac:dyDescent="0.35">
      <c r="A13" s="48"/>
      <c r="B13" s="50"/>
      <c r="C13" s="1">
        <v>108</v>
      </c>
      <c r="D13" s="1">
        <v>108</v>
      </c>
      <c r="E13" s="1">
        <v>108</v>
      </c>
      <c r="F13" s="1">
        <v>108</v>
      </c>
      <c r="G13" s="1">
        <v>108</v>
      </c>
      <c r="H13" s="1">
        <v>150</v>
      </c>
      <c r="I13" s="1">
        <v>150</v>
      </c>
      <c r="J13" s="1">
        <v>150</v>
      </c>
      <c r="K13" s="1">
        <v>150</v>
      </c>
      <c r="L13" s="19">
        <v>150</v>
      </c>
    </row>
    <row r="14" spans="1:12" ht="15.6" x14ac:dyDescent="0.3">
      <c r="A14" s="47">
        <v>18</v>
      </c>
      <c r="B14" s="49">
        <v>24</v>
      </c>
      <c r="C14" s="23">
        <v>157</v>
      </c>
      <c r="D14" s="23">
        <v>169</v>
      </c>
      <c r="E14" s="23">
        <v>188</v>
      </c>
      <c r="F14" s="23">
        <v>220</v>
      </c>
      <c r="G14" s="23">
        <v>266</v>
      </c>
      <c r="H14" s="23">
        <v>209</v>
      </c>
      <c r="I14" s="23">
        <v>221</v>
      </c>
      <c r="J14" s="23">
        <v>240</v>
      </c>
      <c r="K14" s="23">
        <v>272</v>
      </c>
      <c r="L14" s="24">
        <v>318</v>
      </c>
    </row>
    <row r="15" spans="1:12" ht="16.2" thickBot="1" x14ac:dyDescent="0.35">
      <c r="A15" s="48"/>
      <c r="B15" s="50"/>
      <c r="C15" s="1">
        <v>136</v>
      </c>
      <c r="D15" s="1">
        <v>136</v>
      </c>
      <c r="E15" s="1">
        <v>136</v>
      </c>
      <c r="F15" s="1">
        <v>136</v>
      </c>
      <c r="G15" s="1">
        <v>136</v>
      </c>
      <c r="H15" s="1">
        <v>188</v>
      </c>
      <c r="I15" s="1">
        <v>188</v>
      </c>
      <c r="J15" s="1">
        <v>188</v>
      </c>
      <c r="K15" s="1">
        <v>188</v>
      </c>
      <c r="L15" s="19">
        <v>188</v>
      </c>
    </row>
    <row r="16" spans="1:12" ht="15.6" x14ac:dyDescent="0.3">
      <c r="A16" s="47">
        <v>24</v>
      </c>
      <c r="B16" s="49">
        <v>30</v>
      </c>
      <c r="C16" s="23">
        <v>181</v>
      </c>
      <c r="D16" s="23">
        <v>193</v>
      </c>
      <c r="E16" s="23">
        <v>212</v>
      </c>
      <c r="F16" s="23">
        <v>244</v>
      </c>
      <c r="G16" s="23">
        <v>290</v>
      </c>
      <c r="H16" s="23">
        <v>239</v>
      </c>
      <c r="I16" s="23">
        <v>251</v>
      </c>
      <c r="J16" s="23">
        <v>270</v>
      </c>
      <c r="K16" s="23">
        <v>302</v>
      </c>
      <c r="L16" s="24">
        <v>348</v>
      </c>
    </row>
    <row r="17" spans="1:12" ht="16.2" thickBot="1" x14ac:dyDescent="0.35">
      <c r="A17" s="48"/>
      <c r="B17" s="50"/>
      <c r="C17" s="1">
        <v>160</v>
      </c>
      <c r="D17" s="1">
        <v>160</v>
      </c>
      <c r="E17" s="1">
        <v>160</v>
      </c>
      <c r="F17" s="1">
        <v>160</v>
      </c>
      <c r="G17" s="1">
        <v>160</v>
      </c>
      <c r="H17" s="1">
        <v>218</v>
      </c>
      <c r="I17" s="1">
        <v>218</v>
      </c>
      <c r="J17" s="1">
        <v>218</v>
      </c>
      <c r="K17" s="1">
        <v>218</v>
      </c>
      <c r="L17" s="19">
        <v>218</v>
      </c>
    </row>
    <row r="18" spans="1:12" ht="15.6" x14ac:dyDescent="0.3">
      <c r="A18" s="47">
        <v>30</v>
      </c>
      <c r="B18" s="49">
        <v>40</v>
      </c>
      <c r="C18" s="23">
        <v>225</v>
      </c>
      <c r="D18" s="23">
        <v>239</v>
      </c>
      <c r="E18" s="23">
        <v>262</v>
      </c>
      <c r="F18" s="23">
        <v>300</v>
      </c>
      <c r="G18" s="23">
        <v>360</v>
      </c>
      <c r="H18" s="23">
        <v>299</v>
      </c>
      <c r="I18" s="23">
        <v>313</v>
      </c>
      <c r="J18" s="23">
        <v>336</v>
      </c>
      <c r="K18" s="23">
        <v>374</v>
      </c>
      <c r="L18" s="24">
        <v>434</v>
      </c>
    </row>
    <row r="19" spans="1:12" ht="16.2" thickBot="1" x14ac:dyDescent="0.35">
      <c r="A19" s="48"/>
      <c r="B19" s="50"/>
      <c r="C19" s="1">
        <v>200</v>
      </c>
      <c r="D19" s="1">
        <v>200</v>
      </c>
      <c r="E19" s="1">
        <v>200</v>
      </c>
      <c r="F19" s="1">
        <v>200</v>
      </c>
      <c r="G19" s="1">
        <v>200</v>
      </c>
      <c r="H19" s="1">
        <v>274</v>
      </c>
      <c r="I19" s="1">
        <v>274</v>
      </c>
      <c r="J19" s="1">
        <v>274</v>
      </c>
      <c r="K19" s="1">
        <v>274</v>
      </c>
      <c r="L19" s="19">
        <v>274</v>
      </c>
    </row>
    <row r="20" spans="1:12" ht="15.6" x14ac:dyDescent="0.3">
      <c r="A20" s="47">
        <v>40</v>
      </c>
      <c r="B20" s="49">
        <v>50</v>
      </c>
      <c r="C20" s="23">
        <v>267</v>
      </c>
      <c r="D20" s="23">
        <v>281</v>
      </c>
      <c r="E20" s="23">
        <v>304</v>
      </c>
      <c r="F20" s="23">
        <v>342</v>
      </c>
      <c r="G20" s="23">
        <v>402</v>
      </c>
      <c r="H20" s="23">
        <v>350</v>
      </c>
      <c r="I20" s="23">
        <v>364</v>
      </c>
      <c r="J20" s="23">
        <v>387</v>
      </c>
      <c r="K20" s="23">
        <v>425</v>
      </c>
      <c r="L20" s="24">
        <v>485</v>
      </c>
    </row>
    <row r="21" spans="1:12" ht="16.2" thickBot="1" x14ac:dyDescent="0.35">
      <c r="A21" s="48"/>
      <c r="B21" s="50"/>
      <c r="C21" s="1">
        <v>242</v>
      </c>
      <c r="D21" s="1">
        <v>242</v>
      </c>
      <c r="E21" s="1">
        <v>242</v>
      </c>
      <c r="F21" s="1">
        <v>242</v>
      </c>
      <c r="G21" s="1">
        <v>242</v>
      </c>
      <c r="H21" s="1">
        <v>325</v>
      </c>
      <c r="I21" s="1">
        <v>325</v>
      </c>
      <c r="J21" s="1">
        <v>325</v>
      </c>
      <c r="K21" s="1">
        <v>325</v>
      </c>
      <c r="L21" s="19">
        <v>325</v>
      </c>
    </row>
    <row r="22" spans="1:12" ht="15.6" x14ac:dyDescent="0.3">
      <c r="A22" s="47">
        <v>50</v>
      </c>
      <c r="B22" s="49">
        <v>65</v>
      </c>
      <c r="C22" s="23">
        <v>330</v>
      </c>
      <c r="D22" s="23">
        <v>346</v>
      </c>
      <c r="E22" s="23">
        <v>374</v>
      </c>
      <c r="F22" s="23">
        <v>420</v>
      </c>
      <c r="G22" s="23">
        <v>490</v>
      </c>
      <c r="H22" s="23">
        <v>435</v>
      </c>
      <c r="I22" s="23">
        <v>451</v>
      </c>
      <c r="J22" s="23">
        <v>479</v>
      </c>
      <c r="K22" s="23">
        <v>525</v>
      </c>
      <c r="L22" s="24">
        <v>595</v>
      </c>
    </row>
    <row r="23" spans="1:12" ht="16.2" thickBot="1" x14ac:dyDescent="0.35">
      <c r="A23" s="48"/>
      <c r="B23" s="50"/>
      <c r="C23" s="1">
        <v>300</v>
      </c>
      <c r="D23" s="1">
        <v>300</v>
      </c>
      <c r="E23" s="1">
        <v>300</v>
      </c>
      <c r="F23" s="1">
        <v>300</v>
      </c>
      <c r="G23" s="1">
        <v>300</v>
      </c>
      <c r="H23" s="1">
        <v>405</v>
      </c>
      <c r="I23" s="1">
        <v>405</v>
      </c>
      <c r="J23" s="1">
        <v>405</v>
      </c>
      <c r="K23" s="1">
        <v>405</v>
      </c>
      <c r="L23" s="19">
        <v>405</v>
      </c>
    </row>
    <row r="24" spans="1:12" ht="15.6" x14ac:dyDescent="0.3">
      <c r="A24" s="47">
        <v>65</v>
      </c>
      <c r="B24" s="49">
        <v>80</v>
      </c>
      <c r="C24" s="23">
        <v>390</v>
      </c>
      <c r="D24" s="23">
        <v>406</v>
      </c>
      <c r="E24" s="23">
        <v>434</v>
      </c>
      <c r="F24" s="23">
        <v>480</v>
      </c>
      <c r="G24" s="23">
        <v>550</v>
      </c>
      <c r="H24" s="23">
        <v>510</v>
      </c>
      <c r="I24" s="23">
        <v>526</v>
      </c>
      <c r="J24" s="23">
        <v>554</v>
      </c>
      <c r="K24" s="23">
        <v>600</v>
      </c>
      <c r="L24" s="24">
        <v>670</v>
      </c>
    </row>
    <row r="25" spans="1:12" ht="16.2" thickBot="1" x14ac:dyDescent="0.35">
      <c r="A25" s="48"/>
      <c r="B25" s="50"/>
      <c r="C25" s="1">
        <v>360</v>
      </c>
      <c r="D25" s="1">
        <v>360</v>
      </c>
      <c r="E25" s="1">
        <v>360</v>
      </c>
      <c r="F25" s="1">
        <v>360</v>
      </c>
      <c r="G25" s="1">
        <v>360</v>
      </c>
      <c r="H25" s="1">
        <v>480</v>
      </c>
      <c r="I25" s="1">
        <v>480</v>
      </c>
      <c r="J25" s="1">
        <v>480</v>
      </c>
      <c r="K25" s="1">
        <v>480</v>
      </c>
      <c r="L25" s="19">
        <v>480</v>
      </c>
    </row>
    <row r="26" spans="1:12" ht="15.6" x14ac:dyDescent="0.3">
      <c r="A26" s="47">
        <v>80</v>
      </c>
      <c r="B26" s="49">
        <v>100</v>
      </c>
      <c r="C26" s="23">
        <v>480</v>
      </c>
      <c r="D26" s="23">
        <v>499</v>
      </c>
      <c r="E26" s="23">
        <v>532</v>
      </c>
      <c r="F26" s="23">
        <v>585</v>
      </c>
      <c r="G26" s="23">
        <v>665</v>
      </c>
      <c r="H26" s="23">
        <v>620</v>
      </c>
      <c r="I26" s="23">
        <v>639</v>
      </c>
      <c r="J26" s="23">
        <v>672</v>
      </c>
      <c r="K26" s="23">
        <v>725</v>
      </c>
      <c r="L26" s="24">
        <v>805</v>
      </c>
    </row>
    <row r="27" spans="1:12" ht="16.2" thickBot="1" x14ac:dyDescent="0.35">
      <c r="A27" s="48"/>
      <c r="B27" s="50"/>
      <c r="C27" s="1">
        <v>445</v>
      </c>
      <c r="D27" s="1">
        <v>445</v>
      </c>
      <c r="E27" s="1">
        <v>445</v>
      </c>
      <c r="F27" s="1">
        <v>445</v>
      </c>
      <c r="G27" s="1">
        <v>445</v>
      </c>
      <c r="H27" s="1">
        <v>585</v>
      </c>
      <c r="I27" s="1">
        <v>585</v>
      </c>
      <c r="J27" s="1">
        <v>585</v>
      </c>
      <c r="K27" s="1">
        <v>585</v>
      </c>
      <c r="L27" s="19">
        <v>585</v>
      </c>
    </row>
    <row r="28" spans="1:12" ht="15.6" x14ac:dyDescent="0.3">
      <c r="A28" s="47">
        <v>100</v>
      </c>
      <c r="B28" s="49">
        <v>120</v>
      </c>
      <c r="C28" s="23">
        <v>560</v>
      </c>
      <c r="D28" s="23">
        <v>579</v>
      </c>
      <c r="E28" s="23">
        <v>612</v>
      </c>
      <c r="F28" s="23">
        <v>665</v>
      </c>
      <c r="G28" s="23">
        <v>745</v>
      </c>
      <c r="H28" s="23">
        <v>725</v>
      </c>
      <c r="I28" s="23">
        <v>744</v>
      </c>
      <c r="J28" s="23">
        <v>777</v>
      </c>
      <c r="K28" s="23">
        <v>830</v>
      </c>
      <c r="L28" s="24">
        <v>910</v>
      </c>
    </row>
    <row r="29" spans="1:12" ht="16.2" thickBot="1" x14ac:dyDescent="0.35">
      <c r="A29" s="48"/>
      <c r="B29" s="50"/>
      <c r="C29" s="1">
        <v>525</v>
      </c>
      <c r="D29" s="1">
        <v>525</v>
      </c>
      <c r="E29" s="1">
        <v>525</v>
      </c>
      <c r="F29" s="1">
        <v>525</v>
      </c>
      <c r="G29" s="1">
        <v>525</v>
      </c>
      <c r="H29" s="1">
        <v>690</v>
      </c>
      <c r="I29" s="1">
        <v>690</v>
      </c>
      <c r="J29" s="1">
        <v>690</v>
      </c>
      <c r="K29" s="1">
        <v>690</v>
      </c>
      <c r="L29" s="19">
        <v>690</v>
      </c>
    </row>
    <row r="30" spans="1:12" ht="15.6" x14ac:dyDescent="0.3">
      <c r="A30" s="47">
        <v>120</v>
      </c>
      <c r="B30" s="49">
        <v>140</v>
      </c>
      <c r="C30" s="23">
        <v>660</v>
      </c>
      <c r="D30" s="23">
        <v>683</v>
      </c>
      <c r="E30" s="23">
        <v>720</v>
      </c>
      <c r="F30" s="23">
        <v>780</v>
      </c>
      <c r="G30" s="23">
        <v>870</v>
      </c>
      <c r="H30" s="23">
        <v>840</v>
      </c>
      <c r="I30" s="23">
        <v>863</v>
      </c>
      <c r="J30" s="23">
        <v>900</v>
      </c>
      <c r="K30" s="23">
        <v>960</v>
      </c>
      <c r="L30" s="40">
        <v>1050</v>
      </c>
    </row>
    <row r="31" spans="1:12" ht="16.2" thickBot="1" x14ac:dyDescent="0.35">
      <c r="A31" s="48"/>
      <c r="B31" s="50"/>
      <c r="C31" s="1">
        <v>620</v>
      </c>
      <c r="D31" s="1">
        <v>620</v>
      </c>
      <c r="E31" s="1">
        <v>620</v>
      </c>
      <c r="F31" s="1">
        <v>620</v>
      </c>
      <c r="G31" s="1">
        <v>620</v>
      </c>
      <c r="H31" s="1">
        <v>800</v>
      </c>
      <c r="I31" s="1">
        <v>800</v>
      </c>
      <c r="J31" s="1">
        <v>800</v>
      </c>
      <c r="K31" s="1">
        <v>800</v>
      </c>
      <c r="L31" s="19">
        <v>800</v>
      </c>
    </row>
    <row r="32" spans="1:12" ht="15.6" x14ac:dyDescent="0.3">
      <c r="A32" s="47">
        <v>140</v>
      </c>
      <c r="B32" s="49">
        <v>160</v>
      </c>
      <c r="C32" s="23">
        <v>740</v>
      </c>
      <c r="D32" s="23">
        <v>763</v>
      </c>
      <c r="E32" s="23">
        <v>800</v>
      </c>
      <c r="F32" s="23">
        <v>860</v>
      </c>
      <c r="G32" s="23">
        <v>950</v>
      </c>
      <c r="H32" s="23">
        <v>940</v>
      </c>
      <c r="I32" s="23">
        <v>963</v>
      </c>
      <c r="J32" s="41">
        <v>1000</v>
      </c>
      <c r="K32" s="41">
        <v>1060</v>
      </c>
      <c r="L32" s="40">
        <v>1150</v>
      </c>
    </row>
    <row r="33" spans="1:12" ht="16.2" thickBot="1" x14ac:dyDescent="0.35">
      <c r="A33" s="48"/>
      <c r="B33" s="50"/>
      <c r="C33" s="1">
        <v>700</v>
      </c>
      <c r="D33" s="1">
        <v>700</v>
      </c>
      <c r="E33" s="1">
        <v>700</v>
      </c>
      <c r="F33" s="1">
        <v>700</v>
      </c>
      <c r="G33" s="1">
        <v>700</v>
      </c>
      <c r="H33" s="1">
        <v>900</v>
      </c>
      <c r="I33" s="1">
        <v>900</v>
      </c>
      <c r="J33" s="1">
        <v>900</v>
      </c>
      <c r="K33" s="1">
        <v>900</v>
      </c>
      <c r="L33" s="19">
        <v>900</v>
      </c>
    </row>
    <row r="34" spans="1:12" ht="15.6" x14ac:dyDescent="0.3">
      <c r="A34" s="47">
        <v>160</v>
      </c>
      <c r="B34" s="49">
        <v>180</v>
      </c>
      <c r="C34" s="23">
        <v>820</v>
      </c>
      <c r="D34" s="23">
        <v>843</v>
      </c>
      <c r="E34" s="23">
        <v>880</v>
      </c>
      <c r="F34" s="23">
        <v>940</v>
      </c>
      <c r="G34" s="41">
        <v>1030</v>
      </c>
      <c r="H34" s="41">
        <v>1040</v>
      </c>
      <c r="I34" s="41">
        <v>1063</v>
      </c>
      <c r="J34" s="41">
        <v>1100</v>
      </c>
      <c r="K34" s="41">
        <v>1160</v>
      </c>
      <c r="L34" s="40">
        <v>1250</v>
      </c>
    </row>
    <row r="35" spans="1:12" ht="16.2" thickBot="1" x14ac:dyDescent="0.35">
      <c r="A35" s="48"/>
      <c r="B35" s="50"/>
      <c r="C35" s="1">
        <v>780</v>
      </c>
      <c r="D35" s="1">
        <v>780</v>
      </c>
      <c r="E35" s="1">
        <v>780</v>
      </c>
      <c r="F35" s="1">
        <v>780</v>
      </c>
      <c r="G35" s="1">
        <v>780</v>
      </c>
      <c r="H35" s="28">
        <v>1000</v>
      </c>
      <c r="I35" s="28">
        <v>1000</v>
      </c>
      <c r="J35" s="28">
        <v>1000</v>
      </c>
      <c r="K35" s="28">
        <v>1000</v>
      </c>
      <c r="L35" s="27">
        <v>1000</v>
      </c>
    </row>
    <row r="36" spans="1:12" ht="15.6" x14ac:dyDescent="0.3">
      <c r="A36" s="47">
        <v>180</v>
      </c>
      <c r="B36" s="49">
        <v>200</v>
      </c>
      <c r="C36" s="23">
        <v>926</v>
      </c>
      <c r="D36" s="23">
        <v>952</v>
      </c>
      <c r="E36" s="23">
        <v>995</v>
      </c>
      <c r="F36" s="41">
        <v>1065</v>
      </c>
      <c r="G36" s="41">
        <v>1170</v>
      </c>
      <c r="H36" s="41">
        <v>1196</v>
      </c>
      <c r="I36" s="41">
        <v>1222</v>
      </c>
      <c r="J36" s="41">
        <v>1265</v>
      </c>
      <c r="K36" s="41">
        <v>1335</v>
      </c>
      <c r="L36" s="40">
        <v>1440</v>
      </c>
    </row>
    <row r="37" spans="1:12" ht="16.2" thickBot="1" x14ac:dyDescent="0.35">
      <c r="A37" s="48"/>
      <c r="B37" s="50"/>
      <c r="C37" s="1">
        <v>880</v>
      </c>
      <c r="D37" s="1">
        <v>880</v>
      </c>
      <c r="E37" s="1">
        <v>880</v>
      </c>
      <c r="F37" s="1">
        <v>880</v>
      </c>
      <c r="G37" s="1">
        <v>880</v>
      </c>
      <c r="H37" s="28">
        <v>1150</v>
      </c>
      <c r="I37" s="28">
        <v>1150</v>
      </c>
      <c r="J37" s="28">
        <v>1150</v>
      </c>
      <c r="K37" s="28">
        <v>1150</v>
      </c>
      <c r="L37" s="27">
        <v>1150</v>
      </c>
    </row>
    <row r="38" spans="1:12" ht="15.6" x14ac:dyDescent="0.3">
      <c r="A38" s="47">
        <v>200</v>
      </c>
      <c r="B38" s="49">
        <v>225</v>
      </c>
      <c r="C38" s="41">
        <v>1006</v>
      </c>
      <c r="D38" s="41">
        <v>1032</v>
      </c>
      <c r="E38" s="41">
        <v>1075</v>
      </c>
      <c r="F38" s="41">
        <v>1145</v>
      </c>
      <c r="G38" s="41">
        <v>1250</v>
      </c>
      <c r="H38" s="41">
        <v>1296</v>
      </c>
      <c r="I38" s="41">
        <v>1322</v>
      </c>
      <c r="J38" s="41">
        <v>1365</v>
      </c>
      <c r="K38" s="41">
        <v>1435</v>
      </c>
      <c r="L38" s="40">
        <v>1540</v>
      </c>
    </row>
    <row r="39" spans="1:12" ht="16.2" thickBot="1" x14ac:dyDescent="0.35">
      <c r="A39" s="48"/>
      <c r="B39" s="50"/>
      <c r="C39" s="1">
        <v>960</v>
      </c>
      <c r="D39" s="1">
        <v>960</v>
      </c>
      <c r="E39" s="1">
        <v>960</v>
      </c>
      <c r="F39" s="1">
        <v>960</v>
      </c>
      <c r="G39" s="1">
        <v>960</v>
      </c>
      <c r="H39" s="28">
        <v>1250</v>
      </c>
      <c r="I39" s="28">
        <v>1250</v>
      </c>
      <c r="J39" s="28">
        <v>1250</v>
      </c>
      <c r="K39" s="28">
        <v>1250</v>
      </c>
      <c r="L39" s="27">
        <v>1250</v>
      </c>
    </row>
    <row r="40" spans="1:12" ht="15.6" x14ac:dyDescent="0.3">
      <c r="A40" s="47">
        <v>225</v>
      </c>
      <c r="B40" s="49">
        <v>250</v>
      </c>
      <c r="C40" s="41">
        <v>1096</v>
      </c>
      <c r="D40" s="41">
        <v>1122</v>
      </c>
      <c r="E40" s="41">
        <v>1165</v>
      </c>
      <c r="F40" s="41">
        <v>1235</v>
      </c>
      <c r="G40" s="41">
        <v>1340</v>
      </c>
      <c r="H40" s="41">
        <v>1396</v>
      </c>
      <c r="I40" s="41">
        <v>1422</v>
      </c>
      <c r="J40" s="41">
        <v>1465</v>
      </c>
      <c r="K40" s="41">
        <v>1535</v>
      </c>
      <c r="L40" s="40">
        <v>1640</v>
      </c>
    </row>
    <row r="41" spans="1:12" ht="16.2" thickBot="1" x14ac:dyDescent="0.35">
      <c r="A41" s="48"/>
      <c r="B41" s="50"/>
      <c r="C41" s="28">
        <v>1050</v>
      </c>
      <c r="D41" s="28">
        <v>1050</v>
      </c>
      <c r="E41" s="28">
        <v>1050</v>
      </c>
      <c r="F41" s="28">
        <v>1050</v>
      </c>
      <c r="G41" s="28">
        <v>1050</v>
      </c>
      <c r="H41" s="28">
        <v>1350</v>
      </c>
      <c r="I41" s="28">
        <v>1350</v>
      </c>
      <c r="J41" s="28">
        <v>1350</v>
      </c>
      <c r="K41" s="28">
        <v>1350</v>
      </c>
      <c r="L41" s="27">
        <v>1350</v>
      </c>
    </row>
    <row r="42" spans="1:12" ht="15.6" x14ac:dyDescent="0.3">
      <c r="A42" s="47">
        <v>250</v>
      </c>
      <c r="B42" s="49">
        <v>280</v>
      </c>
      <c r="C42" s="41">
        <v>1252</v>
      </c>
      <c r="D42" s="41">
        <v>1281</v>
      </c>
      <c r="E42" s="41">
        <v>1330</v>
      </c>
      <c r="F42" s="41">
        <v>1410</v>
      </c>
      <c r="G42" s="41">
        <v>1520</v>
      </c>
      <c r="H42" s="41">
        <v>1602</v>
      </c>
      <c r="I42" s="41">
        <v>1631</v>
      </c>
      <c r="J42" s="41">
        <v>1680</v>
      </c>
      <c r="K42" s="41">
        <v>1760</v>
      </c>
      <c r="L42" s="40">
        <v>1870</v>
      </c>
    </row>
    <row r="43" spans="1:12" ht="16.2" thickBot="1" x14ac:dyDescent="0.35">
      <c r="A43" s="48"/>
      <c r="B43" s="50"/>
      <c r="C43" s="28">
        <v>1200</v>
      </c>
      <c r="D43" s="28">
        <v>1200</v>
      </c>
      <c r="E43" s="28">
        <v>1200</v>
      </c>
      <c r="F43" s="28">
        <v>1200</v>
      </c>
      <c r="G43" s="28">
        <v>1200</v>
      </c>
      <c r="H43" s="28">
        <v>1550</v>
      </c>
      <c r="I43" s="28">
        <v>1550</v>
      </c>
      <c r="J43" s="28">
        <v>1550</v>
      </c>
      <c r="K43" s="28">
        <v>1550</v>
      </c>
      <c r="L43" s="27">
        <v>1550</v>
      </c>
    </row>
    <row r="44" spans="1:12" ht="15.6" x14ac:dyDescent="0.3">
      <c r="A44" s="47">
        <v>280</v>
      </c>
      <c r="B44" s="49">
        <v>315</v>
      </c>
      <c r="C44" s="41">
        <v>1352</v>
      </c>
      <c r="D44" s="41">
        <v>1381</v>
      </c>
      <c r="E44" s="41">
        <v>1430</v>
      </c>
      <c r="F44" s="41">
        <v>1510</v>
      </c>
      <c r="G44" s="41">
        <v>1620</v>
      </c>
      <c r="H44" s="41">
        <v>1752</v>
      </c>
      <c r="I44" s="41">
        <v>1781</v>
      </c>
      <c r="J44" s="41">
        <v>1830</v>
      </c>
      <c r="K44" s="41">
        <v>1910</v>
      </c>
      <c r="L44" s="40">
        <v>2020</v>
      </c>
    </row>
    <row r="45" spans="1:12" ht="16.2" thickBot="1" x14ac:dyDescent="0.35">
      <c r="A45" s="48"/>
      <c r="B45" s="50"/>
      <c r="C45" s="28">
        <v>1300</v>
      </c>
      <c r="D45" s="28">
        <v>1300</v>
      </c>
      <c r="E45" s="28">
        <v>1300</v>
      </c>
      <c r="F45" s="28">
        <v>1300</v>
      </c>
      <c r="G45" s="28">
        <v>1300</v>
      </c>
      <c r="H45" s="28">
        <v>1700</v>
      </c>
      <c r="I45" s="28">
        <v>1700</v>
      </c>
      <c r="J45" s="28">
        <v>1700</v>
      </c>
      <c r="K45" s="28">
        <v>1700</v>
      </c>
      <c r="L45" s="27">
        <v>1700</v>
      </c>
    </row>
    <row r="46" spans="1:12" ht="15.6" x14ac:dyDescent="0.3">
      <c r="A46" s="47">
        <v>315</v>
      </c>
      <c r="B46" s="49">
        <v>355</v>
      </c>
      <c r="C46" s="41">
        <v>1557</v>
      </c>
      <c r="D46" s="41">
        <v>1589</v>
      </c>
      <c r="E46" s="41">
        <v>1640</v>
      </c>
      <c r="F46" s="41">
        <v>1730</v>
      </c>
      <c r="G46" s="41">
        <v>1860</v>
      </c>
      <c r="H46" s="41">
        <v>1957</v>
      </c>
      <c r="I46" s="41">
        <v>1989</v>
      </c>
      <c r="J46" s="41">
        <v>2040</v>
      </c>
      <c r="K46" s="41">
        <v>2130</v>
      </c>
      <c r="L46" s="40">
        <v>2260</v>
      </c>
    </row>
    <row r="47" spans="1:12" ht="16.2" thickBot="1" x14ac:dyDescent="0.35">
      <c r="A47" s="48"/>
      <c r="B47" s="50"/>
      <c r="C47" s="28">
        <v>1500</v>
      </c>
      <c r="D47" s="28">
        <v>1500</v>
      </c>
      <c r="E47" s="28">
        <v>1500</v>
      </c>
      <c r="F47" s="28">
        <v>1500</v>
      </c>
      <c r="G47" s="28">
        <v>1500</v>
      </c>
      <c r="H47" s="28">
        <v>1900</v>
      </c>
      <c r="I47" s="28">
        <v>1900</v>
      </c>
      <c r="J47" s="28">
        <v>1900</v>
      </c>
      <c r="K47" s="28">
        <v>1900</v>
      </c>
      <c r="L47" s="27">
        <v>1900</v>
      </c>
    </row>
    <row r="48" spans="1:12" ht="15.6" x14ac:dyDescent="0.3">
      <c r="A48" s="47">
        <v>355</v>
      </c>
      <c r="B48" s="49">
        <v>400</v>
      </c>
      <c r="C48" s="41">
        <v>1707</v>
      </c>
      <c r="D48" s="41">
        <v>1739</v>
      </c>
      <c r="E48" s="41">
        <v>1790</v>
      </c>
      <c r="F48" s="41">
        <v>1880</v>
      </c>
      <c r="G48" s="41">
        <v>2010</v>
      </c>
      <c r="H48" s="41">
        <v>2157</v>
      </c>
      <c r="I48" s="41">
        <v>2189</v>
      </c>
      <c r="J48" s="41">
        <v>2240</v>
      </c>
      <c r="K48" s="41">
        <v>2330</v>
      </c>
      <c r="L48" s="40">
        <v>2460</v>
      </c>
    </row>
    <row r="49" spans="1:12" ht="16.2" thickBot="1" x14ac:dyDescent="0.35">
      <c r="A49" s="48"/>
      <c r="B49" s="50"/>
      <c r="C49" s="28">
        <v>1650</v>
      </c>
      <c r="D49" s="28">
        <v>1650</v>
      </c>
      <c r="E49" s="28">
        <v>1650</v>
      </c>
      <c r="F49" s="28">
        <v>1650</v>
      </c>
      <c r="G49" s="28">
        <v>1650</v>
      </c>
      <c r="H49" s="28">
        <v>2100</v>
      </c>
      <c r="I49" s="28">
        <v>2100</v>
      </c>
      <c r="J49" s="28">
        <v>2100</v>
      </c>
      <c r="K49" s="28">
        <v>2100</v>
      </c>
      <c r="L49" s="27">
        <v>2100</v>
      </c>
    </row>
    <row r="50" spans="1:12" ht="15.6" x14ac:dyDescent="0.3">
      <c r="A50" s="47">
        <v>400</v>
      </c>
      <c r="B50" s="49">
        <v>450</v>
      </c>
      <c r="C50" s="41">
        <v>1913</v>
      </c>
      <c r="D50" s="41">
        <v>1947</v>
      </c>
      <c r="E50" s="41">
        <v>2005</v>
      </c>
      <c r="F50" s="41">
        <v>2100</v>
      </c>
      <c r="G50" s="41">
        <v>2250</v>
      </c>
      <c r="H50" s="41">
        <v>2463</v>
      </c>
      <c r="I50" s="41">
        <v>2497</v>
      </c>
      <c r="J50" s="41">
        <v>2555</v>
      </c>
      <c r="K50" s="41">
        <v>2650</v>
      </c>
      <c r="L50" s="40">
        <v>2800</v>
      </c>
    </row>
    <row r="51" spans="1:12" ht="16.2" thickBot="1" x14ac:dyDescent="0.35">
      <c r="A51" s="48"/>
      <c r="B51" s="50"/>
      <c r="C51" s="28">
        <v>1850</v>
      </c>
      <c r="D51" s="28">
        <v>1850</v>
      </c>
      <c r="E51" s="28">
        <v>1850</v>
      </c>
      <c r="F51" s="28">
        <v>1850</v>
      </c>
      <c r="G51" s="28">
        <v>1850</v>
      </c>
      <c r="H51" s="28">
        <v>2400</v>
      </c>
      <c r="I51" s="28">
        <v>2400</v>
      </c>
      <c r="J51" s="28">
        <v>2400</v>
      </c>
      <c r="K51" s="28">
        <v>2400</v>
      </c>
      <c r="L51" s="27">
        <v>2400</v>
      </c>
    </row>
    <row r="52" spans="1:12" ht="15.6" x14ac:dyDescent="0.3">
      <c r="A52" s="47">
        <v>450</v>
      </c>
      <c r="B52" s="49">
        <v>500</v>
      </c>
      <c r="C52" s="41">
        <v>2163</v>
      </c>
      <c r="D52" s="41">
        <v>2197</v>
      </c>
      <c r="E52" s="41">
        <v>2255</v>
      </c>
      <c r="F52" s="41">
        <v>2350</v>
      </c>
      <c r="G52" s="41">
        <v>2500</v>
      </c>
      <c r="H52" s="41">
        <v>2663</v>
      </c>
      <c r="I52" s="41">
        <v>2697</v>
      </c>
      <c r="J52" s="41">
        <v>2755</v>
      </c>
      <c r="K52" s="41">
        <v>2850</v>
      </c>
      <c r="L52" s="40">
        <v>3000</v>
      </c>
    </row>
    <row r="53" spans="1:12" ht="16.2" thickBot="1" x14ac:dyDescent="0.35">
      <c r="A53" s="48"/>
      <c r="B53" s="50"/>
      <c r="C53" s="28">
        <v>2100</v>
      </c>
      <c r="D53" s="28">
        <v>2100</v>
      </c>
      <c r="E53" s="28">
        <v>2100</v>
      </c>
      <c r="F53" s="28">
        <v>2100</v>
      </c>
      <c r="G53" s="28">
        <v>2100</v>
      </c>
      <c r="H53" s="28">
        <v>2600</v>
      </c>
      <c r="I53" s="28">
        <v>2600</v>
      </c>
      <c r="J53" s="28">
        <v>2600</v>
      </c>
      <c r="K53" s="28">
        <v>2600</v>
      </c>
      <c r="L53" s="27">
        <v>2600</v>
      </c>
    </row>
    <row r="54" spans="1:12" ht="16.2" thickBot="1" x14ac:dyDescent="0.35">
      <c r="A54" s="83" t="s">
        <v>53</v>
      </c>
      <c r="B54" s="84"/>
      <c r="C54" s="84"/>
      <c r="D54" s="84"/>
      <c r="E54" s="84"/>
      <c r="F54" s="84"/>
      <c r="G54" s="84"/>
      <c r="H54" s="84"/>
      <c r="I54" s="84"/>
      <c r="J54" s="84"/>
      <c r="K54" s="84"/>
      <c r="L54" s="85"/>
    </row>
    <row r="55" spans="1:12" ht="15.6" thickTop="1" x14ac:dyDescent="0.3"/>
  </sheetData>
  <mergeCells count="55">
    <mergeCell ref="A54:L54"/>
    <mergeCell ref="A48:A49"/>
    <mergeCell ref="B48:B49"/>
    <mergeCell ref="A50:A51"/>
    <mergeCell ref="B50:B51"/>
    <mergeCell ref="A52:A53"/>
    <mergeCell ref="B52:B53"/>
    <mergeCell ref="A42:A43"/>
    <mergeCell ref="B42:B43"/>
    <mergeCell ref="A44:A45"/>
    <mergeCell ref="B44:B45"/>
    <mergeCell ref="A46:A47"/>
    <mergeCell ref="B46:B47"/>
    <mergeCell ref="A36:A37"/>
    <mergeCell ref="B36:B37"/>
    <mergeCell ref="A38:A39"/>
    <mergeCell ref="B38:B39"/>
    <mergeCell ref="A40:A41"/>
    <mergeCell ref="B40:B41"/>
    <mergeCell ref="A30:A31"/>
    <mergeCell ref="B30:B31"/>
    <mergeCell ref="A32:A33"/>
    <mergeCell ref="B32:B33"/>
    <mergeCell ref="A34:A35"/>
    <mergeCell ref="B34:B35"/>
    <mergeCell ref="A24:A25"/>
    <mergeCell ref="B24:B25"/>
    <mergeCell ref="A26:A27"/>
    <mergeCell ref="B26:B27"/>
    <mergeCell ref="A28:A29"/>
    <mergeCell ref="B28:B29"/>
    <mergeCell ref="A18:A19"/>
    <mergeCell ref="B18:B19"/>
    <mergeCell ref="A20:A21"/>
    <mergeCell ref="B20:B21"/>
    <mergeCell ref="A22:A23"/>
    <mergeCell ref="B22:B23"/>
    <mergeCell ref="A12:A13"/>
    <mergeCell ref="B12:B13"/>
    <mergeCell ref="A14:A15"/>
    <mergeCell ref="B14:B15"/>
    <mergeCell ref="A16:A17"/>
    <mergeCell ref="B16:B17"/>
    <mergeCell ref="A6:A7"/>
    <mergeCell ref="B6:B7"/>
    <mergeCell ref="A8:A9"/>
    <mergeCell ref="B8:B9"/>
    <mergeCell ref="A10:A11"/>
    <mergeCell ref="B10:B11"/>
    <mergeCell ref="A1:B1"/>
    <mergeCell ref="A2:B2"/>
    <mergeCell ref="C1:G2"/>
    <mergeCell ref="H1:L2"/>
    <mergeCell ref="A4:A5"/>
    <mergeCell ref="B4:B5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軸a至c的限界偏差</vt:lpstr>
      <vt:lpstr>軸cd至d的限界偏差</vt:lpstr>
      <vt:lpstr>軸e至ef的限界偏差</vt:lpstr>
      <vt:lpstr>軸f至fg的限界偏差</vt:lpstr>
      <vt:lpstr>軸g的限界偏差</vt:lpstr>
      <vt:lpstr>軸h的限界偏差</vt:lpstr>
      <vt:lpstr>軸js的限界偏差</vt:lpstr>
      <vt:lpstr>軸j至k的限界偏差</vt:lpstr>
      <vt:lpstr>軸m至n的限界偏差</vt:lpstr>
      <vt:lpstr>軸p的限界偏差</vt:lpstr>
      <vt:lpstr>軸r的限界偏差</vt:lpstr>
      <vt:lpstr>軸s的限界偏差</vt:lpstr>
      <vt:lpstr>軸t至u的限界偏差</vt:lpstr>
      <vt:lpstr>軸v至y的限界偏差</vt:lpstr>
      <vt:lpstr>軸z至za的限界偏差</vt:lpstr>
      <vt:lpstr>軸zb至zc的限界偏差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泓文 陳</cp:lastModifiedBy>
  <dcterms:created xsi:type="dcterms:W3CDTF">2015-06-05T18:19:34Z</dcterms:created>
  <dcterms:modified xsi:type="dcterms:W3CDTF">2025-12-05T08:38:35Z</dcterms:modified>
</cp:coreProperties>
</file>
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olerance_Project\server\data\"/>
    </mc:Choice>
  </mc:AlternateContent>
  <xr:revisionPtr revIDLastSave="0" documentId="13_ncr:1_{7CD2DE1E-7EAE-42D6-97B6-79A3AA267A81}" xr6:coauthVersionLast="47" xr6:coauthVersionMax="47" xr10:uidLastSave="{00000000-0000-0000-0000-000000000000}"/>
  <bookViews>
    <workbookView xWindow="28680" yWindow="-120" windowWidth="29040" windowHeight="15720" firstSheet="7" activeTab="11" xr2:uid="{62A6A6EF-117E-4DEB-BAF4-0D1CF5A78ED9}"/>
  </bookViews>
  <sheets>
    <sheet name="孔A至C的限界偏差" sheetId="1" r:id="rId1"/>
    <sheet name="孔CD至E的限界偏差" sheetId="2" r:id="rId2"/>
    <sheet name="孔EF至F的限界偏差" sheetId="3" r:id="rId3"/>
    <sheet name="孔FG至G的限界偏差" sheetId="4" r:id="rId4"/>
    <sheet name="孔H的限界偏差" sheetId="5" r:id="rId5"/>
    <sheet name="孔JS的限界偏差" sheetId="6" r:id="rId6"/>
    <sheet name="孔J至K的限界偏差" sheetId="7" r:id="rId7"/>
    <sheet name="孔M至N的限界偏差" sheetId="8" r:id="rId8"/>
    <sheet name="孔P的限界偏差" sheetId="9" r:id="rId9"/>
    <sheet name="孔R的限界偏差" sheetId="10" r:id="rId10"/>
    <sheet name="孔S的限界偏差" sheetId="11" r:id="rId11"/>
    <sheet name="孔T至U的限界偏差" sheetId="12" r:id="rId12"/>
    <sheet name="孔V至Y的限界偏差" sheetId="13" r:id="rId13"/>
    <sheet name="孔Z至ZA的限界偏差" sheetId="14" r:id="rId14"/>
    <sheet name="孔ZB至ZC的限界偏差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4" l="1"/>
  <c r="Q16" i="4"/>
  <c r="R22" i="4"/>
  <c r="Q22" i="4"/>
  <c r="R24" i="4"/>
  <c r="Q24" i="4"/>
  <c r="R20" i="4"/>
  <c r="Q20" i="4"/>
  <c r="R26" i="4"/>
  <c r="Q26" i="4"/>
  <c r="R28" i="4"/>
  <c r="Q28" i="4"/>
  <c r="R30" i="4"/>
  <c r="Q30" i="4"/>
  <c r="R32" i="4"/>
  <c r="Q32" i="4"/>
  <c r="R34" i="4"/>
  <c r="Q34" i="4"/>
  <c r="R36" i="4"/>
  <c r="Q36" i="4"/>
  <c r="R38" i="4"/>
  <c r="Q38" i="4"/>
  <c r="G29" i="7"/>
  <c r="F29" i="7"/>
  <c r="G28" i="7"/>
  <c r="F28" i="7"/>
  <c r="G27" i="7"/>
  <c r="F27" i="7"/>
  <c r="G26" i="7"/>
  <c r="F26" i="7"/>
  <c r="G25" i="7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C41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C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N5" i="5"/>
  <c r="O5" i="5"/>
  <c r="P5" i="5"/>
  <c r="Q5" i="5"/>
  <c r="R5" i="5"/>
  <c r="N6" i="5"/>
  <c r="O6" i="5"/>
  <c r="P6" i="5"/>
  <c r="Q6" i="5"/>
  <c r="R6" i="5"/>
  <c r="S6" i="5"/>
  <c r="T6" i="5"/>
  <c r="N7" i="5"/>
  <c r="O7" i="5"/>
  <c r="P7" i="5"/>
  <c r="Q7" i="5"/>
  <c r="R7" i="5"/>
  <c r="S7" i="5"/>
  <c r="T7" i="5"/>
  <c r="N8" i="5"/>
  <c r="O8" i="5"/>
  <c r="P8" i="5"/>
  <c r="Q8" i="5"/>
  <c r="R8" i="5"/>
  <c r="S8" i="5"/>
  <c r="T8" i="5"/>
  <c r="N9" i="5"/>
  <c r="O9" i="5"/>
  <c r="P9" i="5"/>
  <c r="Q9" i="5"/>
  <c r="R9" i="5"/>
  <c r="S9" i="5"/>
  <c r="T9" i="5"/>
  <c r="N10" i="5"/>
  <c r="O10" i="5"/>
  <c r="P10" i="5"/>
  <c r="Q10" i="5"/>
  <c r="R10" i="5"/>
  <c r="S10" i="5"/>
  <c r="T10" i="5"/>
  <c r="N11" i="5"/>
  <c r="O11" i="5"/>
  <c r="P11" i="5"/>
  <c r="Q11" i="5"/>
  <c r="R11" i="5"/>
  <c r="S11" i="5"/>
  <c r="T11" i="5"/>
  <c r="N12" i="5"/>
  <c r="O12" i="5"/>
  <c r="P12" i="5"/>
  <c r="Q12" i="5"/>
  <c r="R12" i="5"/>
  <c r="S12" i="5"/>
  <c r="T12" i="5"/>
  <c r="N13" i="5"/>
  <c r="O13" i="5"/>
  <c r="P13" i="5"/>
  <c r="Q13" i="5"/>
  <c r="R13" i="5"/>
  <c r="S13" i="5"/>
  <c r="T13" i="5"/>
  <c r="N14" i="5"/>
  <c r="O14" i="5"/>
  <c r="P14" i="5"/>
  <c r="Q14" i="5"/>
  <c r="R14" i="5"/>
  <c r="S14" i="5"/>
  <c r="T14" i="5"/>
  <c r="N15" i="5"/>
  <c r="O15" i="5"/>
  <c r="P15" i="5"/>
  <c r="Q15" i="5"/>
  <c r="R15" i="5"/>
  <c r="S15" i="5"/>
  <c r="T15" i="5"/>
  <c r="N16" i="5"/>
  <c r="O16" i="5"/>
  <c r="P16" i="5"/>
  <c r="Q16" i="5"/>
  <c r="R16" i="5"/>
  <c r="S16" i="5"/>
  <c r="T16" i="5"/>
  <c r="N17" i="5"/>
  <c r="O17" i="5"/>
  <c r="P17" i="5"/>
  <c r="Q17" i="5"/>
  <c r="R17" i="5"/>
  <c r="S17" i="5"/>
  <c r="T17" i="5"/>
  <c r="N18" i="5"/>
  <c r="O18" i="5"/>
  <c r="P18" i="5"/>
  <c r="Q18" i="5"/>
  <c r="R18" i="5"/>
  <c r="S18" i="5"/>
  <c r="T18" i="5"/>
  <c r="N19" i="5"/>
  <c r="O19" i="5"/>
  <c r="P19" i="5"/>
  <c r="Q19" i="5"/>
  <c r="R19" i="5"/>
  <c r="S19" i="5"/>
  <c r="T19" i="5"/>
  <c r="N20" i="5"/>
  <c r="O20" i="5"/>
  <c r="P20" i="5"/>
  <c r="Q20" i="5"/>
  <c r="R20" i="5"/>
  <c r="S20" i="5"/>
  <c r="T20" i="5"/>
  <c r="N21" i="5"/>
  <c r="O21" i="5"/>
  <c r="P21" i="5"/>
  <c r="Q21" i="5"/>
  <c r="R21" i="5"/>
  <c r="S21" i="5"/>
  <c r="T21" i="5"/>
  <c r="N22" i="5"/>
  <c r="O22" i="5"/>
  <c r="P22" i="5"/>
  <c r="Q22" i="5"/>
  <c r="R22" i="5"/>
  <c r="S22" i="5"/>
  <c r="T22" i="5"/>
  <c r="N23" i="5"/>
  <c r="O23" i="5"/>
  <c r="P23" i="5"/>
  <c r="Q23" i="5"/>
  <c r="R23" i="5"/>
  <c r="S23" i="5"/>
  <c r="T23" i="5"/>
  <c r="N24" i="5"/>
  <c r="O24" i="5"/>
  <c r="P24" i="5"/>
  <c r="Q24" i="5"/>
  <c r="R24" i="5"/>
  <c r="S24" i="5"/>
  <c r="T24" i="5"/>
  <c r="N25" i="5"/>
  <c r="O25" i="5"/>
  <c r="P25" i="5"/>
  <c r="Q25" i="5"/>
  <c r="R25" i="5"/>
  <c r="S25" i="5"/>
  <c r="T25" i="5"/>
  <c r="N26" i="5"/>
  <c r="O26" i="5"/>
  <c r="P26" i="5"/>
  <c r="Q26" i="5"/>
  <c r="R26" i="5"/>
  <c r="S26" i="5"/>
  <c r="T26" i="5"/>
  <c r="T46" i="5"/>
  <c r="S46" i="5"/>
  <c r="R46" i="5"/>
  <c r="Q46" i="5"/>
  <c r="P46" i="5"/>
  <c r="O46" i="5"/>
  <c r="N46" i="5"/>
  <c r="T45" i="5"/>
  <c r="S45" i="5"/>
  <c r="R45" i="5"/>
  <c r="Q45" i="5"/>
  <c r="P45" i="5"/>
  <c r="O45" i="5"/>
  <c r="N45" i="5"/>
  <c r="T44" i="5"/>
  <c r="S44" i="5"/>
  <c r="R44" i="5"/>
  <c r="Q44" i="5"/>
  <c r="P44" i="5"/>
  <c r="O44" i="5"/>
  <c r="N44" i="5"/>
  <c r="T43" i="5"/>
  <c r="S43" i="5"/>
  <c r="R43" i="5"/>
  <c r="Q43" i="5"/>
  <c r="P43" i="5"/>
  <c r="O43" i="5"/>
  <c r="N43" i="5"/>
  <c r="T42" i="5"/>
  <c r="S42" i="5"/>
  <c r="R42" i="5"/>
  <c r="Q42" i="5"/>
  <c r="P42" i="5"/>
  <c r="O42" i="5"/>
  <c r="N42" i="5"/>
  <c r="T41" i="5"/>
  <c r="S41" i="5"/>
  <c r="R41" i="5"/>
  <c r="Q41" i="5"/>
  <c r="P41" i="5"/>
  <c r="O41" i="5"/>
  <c r="N41" i="5"/>
  <c r="T40" i="5"/>
  <c r="S40" i="5"/>
  <c r="R40" i="5"/>
  <c r="Q40" i="5"/>
  <c r="P40" i="5"/>
  <c r="O40" i="5"/>
  <c r="N40" i="5"/>
  <c r="T39" i="5"/>
  <c r="S39" i="5"/>
  <c r="R39" i="5"/>
  <c r="Q39" i="5"/>
  <c r="P39" i="5"/>
  <c r="O39" i="5"/>
  <c r="N39" i="5"/>
  <c r="T38" i="5"/>
  <c r="S38" i="5"/>
  <c r="R38" i="5"/>
  <c r="Q38" i="5"/>
  <c r="P38" i="5"/>
  <c r="O38" i="5"/>
  <c r="N38" i="5"/>
  <c r="T37" i="5"/>
  <c r="S37" i="5"/>
  <c r="R37" i="5"/>
  <c r="Q37" i="5"/>
  <c r="P37" i="5"/>
  <c r="O37" i="5"/>
  <c r="N37" i="5"/>
  <c r="T36" i="5"/>
  <c r="S36" i="5"/>
  <c r="R36" i="5"/>
  <c r="Q36" i="5"/>
  <c r="P36" i="5"/>
  <c r="O36" i="5"/>
  <c r="N36" i="5"/>
  <c r="T35" i="5"/>
  <c r="S35" i="5"/>
  <c r="R35" i="5"/>
  <c r="Q35" i="5"/>
  <c r="P35" i="5"/>
  <c r="O35" i="5"/>
  <c r="N35" i="5"/>
  <c r="T34" i="5"/>
  <c r="S34" i="5"/>
  <c r="R34" i="5"/>
  <c r="Q34" i="5"/>
  <c r="P34" i="5"/>
  <c r="O34" i="5"/>
  <c r="N34" i="5"/>
  <c r="T33" i="5"/>
  <c r="S33" i="5"/>
  <c r="R33" i="5"/>
  <c r="Q33" i="5"/>
  <c r="P33" i="5"/>
  <c r="O33" i="5"/>
  <c r="N33" i="5"/>
  <c r="T32" i="5"/>
  <c r="S32" i="5"/>
  <c r="R32" i="5"/>
  <c r="Q32" i="5"/>
  <c r="P32" i="5"/>
  <c r="O32" i="5"/>
  <c r="N32" i="5"/>
  <c r="T31" i="5"/>
  <c r="S31" i="5"/>
  <c r="R31" i="5"/>
  <c r="Q31" i="5"/>
  <c r="P31" i="5"/>
  <c r="O31" i="5"/>
  <c r="N31" i="5"/>
  <c r="T30" i="5"/>
  <c r="S30" i="5"/>
  <c r="R30" i="5"/>
  <c r="Q30" i="5"/>
  <c r="P30" i="5"/>
  <c r="O30" i="5"/>
  <c r="N30" i="5"/>
  <c r="T29" i="5"/>
  <c r="S29" i="5"/>
  <c r="R29" i="5"/>
  <c r="Q29" i="5"/>
  <c r="P29" i="5"/>
  <c r="O29" i="5"/>
  <c r="N29" i="5"/>
  <c r="T28" i="5"/>
  <c r="S28" i="5"/>
  <c r="R28" i="5"/>
  <c r="Q28" i="5"/>
  <c r="P28" i="5"/>
  <c r="O28" i="5"/>
  <c r="N28" i="5"/>
  <c r="T27" i="5"/>
  <c r="S27" i="5"/>
  <c r="R27" i="5"/>
  <c r="Q27" i="5"/>
  <c r="P27" i="5"/>
  <c r="O27" i="5"/>
  <c r="N27" i="5"/>
</calcChain>
</file>

<file path=xl/sharedStrings.xml><?xml version="1.0" encoding="utf-8"?>
<sst xmlns="http://schemas.openxmlformats.org/spreadsheetml/2006/main" count="136" uniqueCount="68">
  <si>
    <t>標稱尺度</t>
  </si>
  <si>
    <t>mm</t>
  </si>
  <si>
    <t>C</t>
  </si>
  <si>
    <t>大於</t>
  </si>
  <si>
    <t>至</t>
  </si>
  <si>
    <t>－</t>
  </si>
  <si>
    <t>標稱尺度</t>
  </si>
  <si>
    <t>D</t>
  </si>
  <si>
    <t>E</t>
  </si>
  <si>
    <t>F</t>
  </si>
  <si>
    <r>
      <t>A</t>
    </r>
    <r>
      <rPr>
        <sz val="12"/>
        <color rgb="FF231F20"/>
        <rFont val="Times New Roman"/>
        <family val="1"/>
      </rPr>
      <t>(b)</t>
    </r>
  </si>
  <si>
    <r>
      <t>B</t>
    </r>
    <r>
      <rPr>
        <sz val="12"/>
        <color rgb="FF231F20"/>
        <rFont val="Times New Roman"/>
        <family val="1"/>
      </rPr>
      <t>(b)</t>
    </r>
  </si>
  <si>
    <t>3(b)</t>
  </si>
  <si>
    <r>
      <t>CD</t>
    </r>
    <r>
      <rPr>
        <sz val="12"/>
        <color rgb="FF231F20"/>
        <rFont val="Times New Roman"/>
        <family val="1"/>
      </rPr>
      <t>(a)</t>
    </r>
  </si>
  <si>
    <r>
      <t>註</t>
    </r>
    <r>
      <rPr>
        <vertAlign val="superscript"/>
        <sz val="12"/>
        <color theme="1"/>
        <rFont val="Times New Roman"/>
        <family val="1"/>
      </rPr>
      <t>(a)</t>
    </r>
    <r>
      <rPr>
        <sz val="12"/>
        <color theme="1"/>
        <rFont val="SimSun"/>
        <charset val="134"/>
      </rPr>
      <t>中間基礎偏差</t>
    </r>
    <r>
      <rPr>
        <sz val="12"/>
        <color theme="1"/>
        <rFont val="Times New Roman"/>
        <family val="1"/>
      </rPr>
      <t>CD</t>
    </r>
    <r>
      <rPr>
        <sz val="12"/>
        <color theme="1"/>
        <rFont val="SimSun"/>
        <charset val="134"/>
      </rPr>
      <t>主要使用於精密機械及鐘錶。若此基礎偏差所包含之公差等級在其他標稱尺度被需要時，亦可依</t>
    </r>
    <r>
      <rPr>
        <sz val="12"/>
        <color theme="1"/>
        <rFont val="Times New Roman"/>
        <family val="1"/>
      </rPr>
      <t>CNS 4-1</t>
    </r>
    <r>
      <rPr>
        <sz val="12"/>
        <color theme="1"/>
        <rFont val="SimSun"/>
        <charset val="134"/>
      </rPr>
      <t>計算出數值。</t>
    </r>
  </si>
  <si>
    <r>
      <t>EF</t>
    </r>
    <r>
      <rPr>
        <sz val="12"/>
        <color rgb="FF231F20"/>
        <rFont val="Times New Roman"/>
        <family val="1"/>
      </rPr>
      <t>(a)</t>
    </r>
  </si>
  <si>
    <t>註(a) 基礎偏差A、B 及C不適用於標稱尺度大於500 mm者。</t>
    <phoneticPr fontId="2" type="noConversion"/>
  </si>
  <si>
    <t>G</t>
  </si>
  <si>
    <t>FG(a)</t>
  </si>
  <si>
    <t>H</t>
  </si>
  <si>
    <t>µm</t>
  </si>
  <si>
    <t>3(a)</t>
  </si>
  <si>
    <r>
      <t>14</t>
    </r>
    <r>
      <rPr>
        <sz val="12"/>
        <color rgb="FF231F20"/>
        <rFont val="Times New Roman"/>
        <family val="1"/>
      </rPr>
      <t>(a)</t>
    </r>
  </si>
  <si>
    <r>
      <t>15</t>
    </r>
    <r>
      <rPr>
        <sz val="12"/>
        <color rgb="FF231F20"/>
        <rFont val="Times New Roman"/>
        <family val="1"/>
      </rPr>
      <t>(a)</t>
    </r>
  </si>
  <si>
    <r>
      <t>16</t>
    </r>
    <r>
      <rPr>
        <sz val="12"/>
        <color rgb="FF231F20"/>
        <rFont val="Times New Roman"/>
        <family val="1"/>
      </rPr>
      <t>(a)</t>
    </r>
  </si>
  <si>
    <r>
      <t>17</t>
    </r>
    <r>
      <rPr>
        <sz val="12"/>
        <color rgb="FF231F20"/>
        <rFont val="Times New Roman"/>
        <family val="1"/>
      </rPr>
      <t>(a)</t>
    </r>
  </si>
  <si>
    <r>
      <t>18</t>
    </r>
    <r>
      <rPr>
        <sz val="12"/>
        <color rgb="FF231F20"/>
        <rFont val="Times New Roman"/>
        <family val="1"/>
      </rPr>
      <t>(a)</t>
    </r>
  </si>
  <si>
    <t>註(a) 公差等級為IT14至IT18不適用於標稱尺度在1 mm以下者。</t>
    <phoneticPr fontId="2" type="noConversion"/>
  </si>
  <si>
    <r>
      <t>偏差</t>
    </r>
    <r>
      <rPr>
        <sz val="12"/>
        <color theme="1"/>
        <rFont val="Microsoft JhengHei UI"/>
        <family val="2"/>
        <charset val="136"/>
      </rPr>
      <t>(µm</t>
    </r>
    <r>
      <rPr>
        <sz val="12"/>
        <color theme="1"/>
        <rFont val="SimSun"/>
        <charset val="134"/>
      </rPr>
      <t>)</t>
    </r>
    <phoneticPr fontId="2" type="noConversion"/>
  </si>
  <si>
    <t>JS</t>
  </si>
  <si>
    <r>
      <rPr>
        <sz val="12"/>
        <color rgb="FF231F20"/>
        <rFont val="SimSun"/>
        <charset val="134"/>
      </rPr>
      <t>標稱尺度</t>
    </r>
  </si>
  <si>
    <r>
      <rPr>
        <sz val="12"/>
        <color rgb="FF231F20"/>
        <rFont val="SimSun"/>
        <charset val="134"/>
      </rPr>
      <t>大於</t>
    </r>
  </si>
  <si>
    <r>
      <rPr>
        <sz val="12"/>
        <color theme="1"/>
        <rFont val="SimSun"/>
        <charset val="134"/>
      </rPr>
      <t>至</t>
    </r>
  </si>
  <si>
    <r>
      <rPr>
        <sz val="12"/>
        <color rgb="FF231F20"/>
        <rFont val="SimSun"/>
        <charset val="134"/>
      </rPr>
      <t>－</t>
    </r>
  </si>
  <si>
    <r>
      <rPr>
        <sz val="12"/>
        <color theme="1"/>
        <rFont val="SimSun"/>
        <charset val="134"/>
      </rPr>
      <t>偏差</t>
    </r>
    <phoneticPr fontId="2" type="noConversion"/>
  </si>
  <si>
    <t>J</t>
  </si>
  <si>
    <t>K</t>
  </si>
  <si>
    <r>
      <t>9</t>
    </r>
    <r>
      <rPr>
        <sz val="12"/>
        <color rgb="FF231F20"/>
        <rFont val="Times New Roman"/>
        <family val="1"/>
      </rPr>
      <t>(a)</t>
    </r>
  </si>
  <si>
    <r>
      <t>9(</t>
    </r>
    <r>
      <rPr>
        <sz val="12"/>
        <color rgb="FF231F20"/>
        <rFont val="Times New Roman"/>
        <family val="1"/>
      </rPr>
      <t>b</t>
    </r>
    <r>
      <rPr>
        <b/>
        <sz val="12"/>
        <color rgb="FF231F20"/>
        <rFont val="Times New Roman"/>
        <family val="1"/>
      </rPr>
      <t>)</t>
    </r>
  </si>
  <si>
    <r>
      <t>10</t>
    </r>
    <r>
      <rPr>
        <sz val="12"/>
        <color rgb="FF231F20"/>
        <rFont val="Times New Roman"/>
        <family val="1"/>
      </rPr>
      <t>(b)</t>
    </r>
  </si>
  <si>
    <t>註(a) 公差類別為 J9、J10 等之公差限界係對稱於標稱尺度線(其公差限界值，參照表 7 及圖 1)。</t>
    <phoneticPr fontId="2" type="noConversion"/>
  </si>
  <si>
    <t>(b) K 之偏差在公差等級大於 IT8 時，對於標稱尺度大於 3 mm 者沒有定義。</t>
    <phoneticPr fontId="2" type="noConversion"/>
  </si>
  <si>
    <t>(c) 與JS7相同。</t>
    <phoneticPr fontId="2" type="noConversion"/>
  </si>
  <si>
    <t>M</t>
  </si>
  <si>
    <t>N</t>
  </si>
  <si>
    <r>
      <t>10</t>
    </r>
    <r>
      <rPr>
        <sz val="12"/>
        <color rgb="FF231F20"/>
        <rFont val="Times New Roman"/>
        <family val="1"/>
      </rPr>
      <t>(a)</t>
    </r>
  </si>
  <si>
    <r>
      <t>11</t>
    </r>
    <r>
      <rPr>
        <sz val="12"/>
        <color rgb="FF231F20"/>
        <rFont val="Times New Roman"/>
        <family val="1"/>
      </rPr>
      <t>(a)</t>
    </r>
  </si>
  <si>
    <t>註(a) 公差類別 N9、N10 及 N11 不適用於標稱尺度在 1 mm 以下者。</t>
    <phoneticPr fontId="2" type="noConversion"/>
  </si>
  <si>
    <t>P</t>
  </si>
  <si>
    <t>R</t>
  </si>
  <si>
    <t>標稱尺度</t>
    <phoneticPr fontId="2" type="noConversion"/>
  </si>
  <si>
    <t>S</t>
  </si>
  <si>
    <t>U</t>
  </si>
  <si>
    <t>X</t>
  </si>
  <si>
    <r>
      <t>V</t>
    </r>
    <r>
      <rPr>
        <sz val="12"/>
        <color rgb="FF231F20"/>
        <rFont val="Times New Roman"/>
        <family val="1"/>
      </rPr>
      <t>(b)</t>
    </r>
  </si>
  <si>
    <r>
      <t>Y</t>
    </r>
    <r>
      <rPr>
        <sz val="12"/>
        <color rgb="FF231F20"/>
        <rFont val="Times New Roman"/>
        <family val="1"/>
      </rPr>
      <t>(c)</t>
    </r>
  </si>
  <si>
    <t>註(a) 基礎偏差V、X 及Y 不適用於標稱尺度大於 500 mm 者。</t>
    <phoneticPr fontId="2" type="noConversion"/>
  </si>
  <si>
    <t>(b) 標稱尺度在 14 mm 以下，公差類別 V5 至 V8 並未列出。建議以公差類別 X5 至 X8 取代。</t>
    <phoneticPr fontId="2" type="noConversion"/>
  </si>
  <si>
    <r>
      <t>(c)</t>
    </r>
    <r>
      <rPr>
        <sz val="12"/>
        <color theme="1"/>
        <rFont val="SimSun"/>
        <charset val="134"/>
      </rPr>
      <t xml:space="preserve">標稱尺度在 </t>
    </r>
    <r>
      <rPr>
        <sz val="12"/>
        <color theme="1"/>
        <rFont val="Times New Roman"/>
        <family val="1"/>
      </rPr>
      <t xml:space="preserve">18 mm </t>
    </r>
    <r>
      <rPr>
        <sz val="12"/>
        <color theme="1"/>
        <rFont val="SimSun"/>
        <charset val="134"/>
      </rPr>
      <t xml:space="preserve">以下，公差類別 </t>
    </r>
    <r>
      <rPr>
        <sz val="12"/>
        <color theme="1"/>
        <rFont val="Times New Roman"/>
        <family val="1"/>
      </rPr>
      <t xml:space="preserve">Y6 </t>
    </r>
    <r>
      <rPr>
        <sz val="12"/>
        <color theme="1"/>
        <rFont val="SimSun"/>
        <charset val="134"/>
      </rPr>
      <t xml:space="preserve">至 </t>
    </r>
    <r>
      <rPr>
        <sz val="12"/>
        <color theme="1"/>
        <rFont val="Times New Roman"/>
        <family val="1"/>
      </rPr>
      <t xml:space="preserve">Y10 </t>
    </r>
    <r>
      <rPr>
        <sz val="12"/>
        <color theme="1"/>
        <rFont val="SimSun"/>
        <charset val="134"/>
      </rPr>
      <t xml:space="preserve">並未列出。建議以公差類別 </t>
    </r>
    <r>
      <rPr>
        <sz val="12"/>
        <color theme="1"/>
        <rFont val="Times New Roman"/>
        <family val="1"/>
      </rPr>
      <t xml:space="preserve">Z6 </t>
    </r>
    <r>
      <rPr>
        <sz val="12"/>
        <color theme="1"/>
        <rFont val="SimSun"/>
        <charset val="134"/>
      </rPr>
      <t xml:space="preserve">至 </t>
    </r>
    <r>
      <rPr>
        <sz val="12"/>
        <color theme="1"/>
        <rFont val="Times New Roman"/>
        <family val="1"/>
      </rPr>
      <t xml:space="preserve">Z10 </t>
    </r>
    <r>
      <rPr>
        <sz val="12"/>
        <color theme="1"/>
        <rFont val="SimSun"/>
        <charset val="134"/>
      </rPr>
      <t>取代。</t>
    </r>
    <phoneticPr fontId="2" type="noConversion"/>
  </si>
  <si>
    <t>Z</t>
  </si>
  <si>
    <t>ZA</t>
  </si>
  <si>
    <t>註(a) 基礎偏差Z 及 ZA 不適用於標稱尺度大於 500 mm 者。</t>
    <phoneticPr fontId="2" type="noConversion"/>
  </si>
  <si>
    <t>ZB</t>
  </si>
  <si>
    <t>ZC</t>
  </si>
  <si>
    <t>註(a) 基礎偏差 ZB 及 ZC 不適用於標稱尺度大於 500 mm 者。</t>
    <phoneticPr fontId="2" type="noConversion"/>
  </si>
  <si>
    <t>T</t>
    <phoneticPr fontId="2" type="noConversion"/>
  </si>
  <si>
    <r>
      <t>註</t>
    </r>
    <r>
      <rPr>
        <sz val="12"/>
        <color theme="1"/>
        <rFont val="細明體"/>
        <family val="3"/>
        <charset val="136"/>
      </rPr>
      <t>:</t>
    </r>
    <r>
      <rPr>
        <sz val="12"/>
        <color theme="1"/>
        <rFont val="SimSun"/>
        <charset val="134"/>
      </rPr>
      <t>為避免重複列出相同數值，本表所列數值為〝±x〞，數值可解釋為ES=+且EI=-x，例： ±0.23 mm。</t>
    </r>
    <phoneticPr fontId="2" type="noConversion"/>
  </si>
  <si>
    <t>註:公差等級為IT14至IT16不適用於標稱尺度在1 mm以下者。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</si>
</sst>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新細明體"/>
      <family val="2"/>
      <charset val="136"/>
      <scheme val="minor"/>
    </font>
    <font>
      <sz val="11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rgb="FF231F20"/>
      <name val="新細明體"/>
      <family val="1"/>
      <charset val="136"/>
    </font>
    <font>
      <b/>
      <sz val="12"/>
      <color rgb="FF231F20"/>
      <name val="Times New Roman"/>
      <family val="1"/>
    </font>
    <font>
      <sz val="12"/>
      <color rgb="FF231F20"/>
      <name val="Times New Roman"/>
      <family val="1"/>
    </font>
    <font>
      <sz val="12"/>
      <color theme="1"/>
      <name val="SimSun"/>
      <charset val="134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6"/>
      <color theme="1"/>
      <name val="SimSun"/>
      <charset val="134"/>
    </font>
    <font>
      <sz val="12"/>
      <color rgb="FF231F20"/>
      <name val="SimSun"/>
      <charset val="134"/>
    </font>
    <font>
      <sz val="12"/>
      <color theme="1"/>
      <name val="Microsoft JhengHei UI"/>
      <family val="2"/>
      <charset val="136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ck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5" fillId="0" borderId="14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3" fontId="5" fillId="0" borderId="12" xfId="0" applyNumberFormat="1" applyFont="1" applyBorder="1" applyAlignment="1">
      <alignment vertical="center" wrapText="1"/>
    </xf>
    <xf numFmtId="3" fontId="5" fillId="0" borderId="14" xfId="0" applyNumberFormat="1" applyFont="1" applyBorder="1" applyAlignment="1">
      <alignment vertical="center" wrapText="1"/>
    </xf>
    <xf numFmtId="3" fontId="5" fillId="0" borderId="13" xfId="0" applyNumberFormat="1" applyFont="1" applyBorder="1" applyAlignment="1">
      <alignment vertical="center" wrapText="1"/>
    </xf>
    <xf numFmtId="3" fontId="5" fillId="0" borderId="4" xfId="0" applyNumberFormat="1" applyFont="1" applyBorder="1" applyAlignment="1">
      <alignment vertical="center" wrapText="1"/>
    </xf>
    <xf numFmtId="3" fontId="5" fillId="0" borderId="10" xfId="0" applyNumberFormat="1" applyFont="1" applyBorder="1" applyAlignment="1">
      <alignment vertical="center" wrapText="1"/>
    </xf>
    <xf numFmtId="3" fontId="5" fillId="0" borderId="9" xfId="0" applyNumberFormat="1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vertical="center" wrapText="1"/>
    </xf>
    <xf numFmtId="0" fontId="5" fillId="0" borderId="14" xfId="0" applyFont="1" applyBorder="1" applyAlignment="1">
      <alignment horizontal="right" vertical="center" wrapText="1" indent="1"/>
    </xf>
    <xf numFmtId="0" fontId="5" fillId="0" borderId="14" xfId="0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 indent="1"/>
    </xf>
    <xf numFmtId="0" fontId="5" fillId="0" borderId="1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3" fontId="5" fillId="0" borderId="14" xfId="0" applyNumberFormat="1" applyFont="1" applyBorder="1" applyAlignment="1">
      <alignment horizontal="right" vertical="center" wrapText="1"/>
    </xf>
    <xf numFmtId="0" fontId="10" fillId="0" borderId="11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vertical="center" wrapText="1"/>
    </xf>
    <xf numFmtId="0" fontId="5" fillId="0" borderId="43" xfId="0" applyFont="1" applyBorder="1" applyAlignment="1">
      <alignment horizontal="righ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10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0" fontId="5" fillId="0" borderId="45" xfId="0" applyFont="1" applyBorder="1" applyAlignment="1">
      <alignment horizontal="right" vertical="center" wrapText="1"/>
    </xf>
    <xf numFmtId="0" fontId="5" fillId="0" borderId="26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10" fillId="0" borderId="8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center" vertical="center" wrapText="1"/>
    </xf>
    <xf numFmtId="0" fontId="5" fillId="0" borderId="52" xfId="0" applyFont="1" applyBorder="1" applyAlignment="1">
      <alignment vertical="center" wrapText="1"/>
    </xf>
    <xf numFmtId="0" fontId="5" fillId="0" borderId="53" xfId="0" applyFont="1" applyBorder="1" applyAlignment="1">
      <alignment vertical="center" wrapText="1"/>
    </xf>
    <xf numFmtId="0" fontId="5" fillId="0" borderId="54" xfId="0" applyFont="1" applyBorder="1" applyAlignment="1">
      <alignment vertical="center" wrapText="1"/>
    </xf>
    <xf numFmtId="0" fontId="5" fillId="0" borderId="55" xfId="0" applyFont="1" applyBorder="1" applyAlignment="1">
      <alignment vertical="center" wrapText="1"/>
    </xf>
    <xf numFmtId="3" fontId="5" fillId="0" borderId="13" xfId="0" applyNumberFormat="1" applyFont="1" applyBorder="1" applyAlignment="1">
      <alignment horizontal="right" vertical="center" wrapText="1"/>
    </xf>
    <xf numFmtId="3" fontId="5" fillId="0" borderId="4" xfId="0" applyNumberFormat="1" applyFont="1" applyBorder="1" applyAlignment="1">
      <alignment horizontal="right" vertical="center" wrapText="1"/>
    </xf>
    <xf numFmtId="3" fontId="5" fillId="0" borderId="12" xfId="0" applyNumberFormat="1" applyFont="1" applyBorder="1" applyAlignment="1">
      <alignment horizontal="right" vertical="center" wrapText="1"/>
    </xf>
    <xf numFmtId="3" fontId="5" fillId="0" borderId="10" xfId="0" applyNumberFormat="1" applyFont="1" applyBorder="1" applyAlignment="1">
      <alignment horizontal="right" vertical="center" wrapText="1"/>
    </xf>
    <xf numFmtId="3" fontId="5" fillId="0" borderId="9" xfId="0" applyNumberFormat="1" applyFont="1" applyBorder="1" applyAlignment="1">
      <alignment horizontal="right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wrapText="1" indent="1"/>
    </xf>
    <xf numFmtId="0" fontId="3" fillId="0" borderId="15" xfId="0" applyFont="1" applyBorder="1" applyAlignment="1">
      <alignment horizontal="left" vertical="center" wrapText="1" indent="1"/>
    </xf>
    <xf numFmtId="0" fontId="3" fillId="0" borderId="11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3" fontId="5" fillId="0" borderId="18" xfId="0" applyNumberFormat="1" applyFont="1" applyBorder="1" applyAlignment="1">
      <alignment horizontal="center" vertical="center" wrapText="1"/>
    </xf>
    <xf numFmtId="3" fontId="5" fillId="0" borderId="11" xfId="0" applyNumberFormat="1" applyFont="1" applyBorder="1" applyAlignment="1">
      <alignment horizontal="center" vertical="center" wrapText="1"/>
    </xf>
    <xf numFmtId="3" fontId="5" fillId="0" borderId="29" xfId="0" applyNumberFormat="1" applyFont="1" applyBorder="1" applyAlignment="1">
      <alignment horizontal="center" vertical="center" wrapText="1"/>
    </xf>
    <xf numFmtId="3" fontId="5" fillId="0" borderId="30" xfId="0" applyNumberFormat="1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7" fillId="0" borderId="51" xfId="0" applyFont="1" applyBorder="1" applyAlignment="1">
      <alignment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 indent="1"/>
    </xf>
    <xf numFmtId="0" fontId="7" fillId="0" borderId="30" xfId="0" applyFont="1" applyBorder="1" applyAlignment="1">
      <alignment horizontal="left" vertical="center" wrapText="1" inden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6" fillId="0" borderId="39" xfId="0" applyFont="1" applyBorder="1" applyAlignment="1">
      <alignment vertical="center" wrapText="1"/>
    </xf>
    <xf numFmtId="0" fontId="6" fillId="0" borderId="37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6" fillId="0" borderId="40" xfId="0" applyFont="1" applyBorder="1" applyAlignment="1">
      <alignment vertical="center" wrapText="1"/>
    </xf>
    <xf numFmtId="0" fontId="6" fillId="0" borderId="41" xfId="0" applyFont="1" applyBorder="1" applyAlignment="1">
      <alignment vertical="center" wrapText="1"/>
    </xf>
    <xf numFmtId="0" fontId="6" fillId="0" borderId="42" xfId="0" applyFont="1" applyBorder="1" applyAlignment="1">
      <alignment vertical="center" wrapText="1"/>
    </xf>
    <xf numFmtId="0" fontId="7" fillId="0" borderId="19" xfId="0" applyFont="1" applyBorder="1" applyAlignment="1">
      <alignment horizontal="right" vertical="center" wrapText="1"/>
    </xf>
    <xf numFmtId="0" fontId="7" fillId="0" borderId="17" xfId="0" applyFont="1" applyBorder="1" applyAlignment="1">
      <alignment horizontal="right" vertical="center" wrapText="1"/>
    </xf>
    <xf numFmtId="3" fontId="5" fillId="0" borderId="29" xfId="0" applyNumberFormat="1" applyFont="1" applyBorder="1" applyAlignment="1">
      <alignment horizontal="left" vertical="center" wrapText="1" indent="1"/>
    </xf>
    <xf numFmtId="3" fontId="5" fillId="0" borderId="30" xfId="0" applyNumberFormat="1" applyFont="1" applyBorder="1" applyAlignment="1">
      <alignment horizontal="left" vertical="center" wrapText="1" indent="1"/>
    </xf>
    <xf numFmtId="0" fontId="5" fillId="0" borderId="29" xfId="0" applyFont="1" applyBorder="1" applyAlignment="1">
      <alignment horizontal="left" vertical="center" wrapText="1" indent="1"/>
    </xf>
    <xf numFmtId="0" fontId="5" fillId="0" borderId="30" xfId="0" applyFont="1" applyBorder="1" applyAlignment="1">
      <alignment horizontal="left" vertical="center" wrapText="1" inden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center" vertical="center" wrapText="1"/>
    </xf>
    <xf numFmtId="3" fontId="5" fillId="0" borderId="44" xfId="0" applyNumberFormat="1" applyFont="1" applyBorder="1" applyAlignment="1">
      <alignment horizontal="center" vertical="center" wrapText="1"/>
    </xf>
    <xf numFmtId="0" fontId="7" fillId="0" borderId="44" xfId="0" applyFont="1" applyBorder="1" applyAlignment="1">
      <alignment horizontal="right" vertical="center" wrapText="1"/>
    </xf>
    <xf numFmtId="0" fontId="7" fillId="0" borderId="19" xfId="0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0" fontId="7" fillId="0" borderId="44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7" fillId="0" borderId="46" xfId="0" applyFont="1" applyBorder="1" applyAlignment="1">
      <alignment vertical="center" wrapText="1"/>
    </xf>
    <xf numFmtId="0" fontId="5" fillId="0" borderId="8" xfId="0" applyFont="1" applyBorder="1" applyAlignment="1">
      <alignment horizontal="left" vertical="center" wrapText="1" indent="1"/>
    </xf>
    <xf numFmtId="0" fontId="5" fillId="0" borderId="4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left" vertical="center" wrapText="1" indent="1"/>
    </xf>
    <xf numFmtId="0" fontId="10" fillId="0" borderId="11" xfId="0" applyFont="1" applyBorder="1" applyAlignment="1">
      <alignment horizontal="left" vertical="center" wrapText="1" indent="1"/>
    </xf>
    <xf numFmtId="3" fontId="5" fillId="0" borderId="19" xfId="0" applyNumberFormat="1" applyFont="1" applyBorder="1" applyAlignment="1">
      <alignment horizontal="center" vertical="center" wrapText="1"/>
    </xf>
    <xf numFmtId="3" fontId="5" fillId="0" borderId="22" xfId="0" applyNumberFormat="1" applyFont="1" applyBorder="1" applyAlignment="1">
      <alignment horizontal="center" vertical="center" wrapText="1"/>
    </xf>
    <xf numFmtId="0" fontId="7" fillId="0" borderId="18" xfId="0" applyFont="1" applyBorder="1" applyAlignment="1">
      <alignment horizontal="right" vertical="center" wrapText="1"/>
    </xf>
    <xf numFmtId="0" fontId="7" fillId="0" borderId="8" xfId="0" applyFont="1" applyBorder="1" applyAlignment="1">
      <alignment horizontal="right" vertical="center" wrapText="1"/>
    </xf>
    <xf numFmtId="3" fontId="5" fillId="0" borderId="17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right" vertical="center" wrapText="1"/>
    </xf>
    <xf numFmtId="0" fontId="7" fillId="0" borderId="16" xfId="0" applyFont="1" applyBorder="1" applyAlignment="1">
      <alignment horizontal="right" vertical="center" wrapText="1"/>
    </xf>
    <xf numFmtId="0" fontId="7" fillId="0" borderId="15" xfId="0" applyFont="1" applyBorder="1" applyAlignment="1">
      <alignment horizontal="right" vertical="center" wrapText="1"/>
    </xf>
    <xf numFmtId="0" fontId="7" fillId="0" borderId="46" xfId="0" applyFont="1" applyBorder="1" applyAlignment="1">
      <alignment horizontal="right" vertical="center" wrapText="1"/>
    </xf>
    <xf numFmtId="0" fontId="6" fillId="0" borderId="18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0" fontId="5" fillId="0" borderId="22" xfId="0" applyFont="1" applyBorder="1" applyAlignment="1">
      <alignment horizontal="left" vertical="center" wrapText="1" indent="1"/>
    </xf>
    <xf numFmtId="0" fontId="5" fillId="0" borderId="17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2"/>
    </xf>
    <xf numFmtId="0" fontId="5" fillId="0" borderId="11" xfId="0" applyFont="1" applyBorder="1" applyAlignment="1">
      <alignment horizontal="left" vertical="center" wrapText="1" indent="2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64E7-D550-4668-89BA-DFE2FB0A10DE}">
  <dimension ref="A1:S51"/>
  <sheetViews>
    <sheetView topLeftCell="A22" workbookViewId="0">
      <selection activeCell="E28" sqref="E28"/>
    </sheetView>
  </sheetViews>
  <sheetFormatPr defaultRowHeight="16.2" x14ac:dyDescent="0.3"/>
  <sheetData>
    <row r="1" spans="1:19" ht="16.8" customHeight="1" thickTop="1" x14ac:dyDescent="0.3">
      <c r="A1" s="83" t="s">
        <v>0</v>
      </c>
      <c r="B1" s="84"/>
      <c r="C1" s="77" t="s">
        <v>10</v>
      </c>
      <c r="D1" s="78"/>
      <c r="E1" s="78"/>
      <c r="F1" s="78"/>
      <c r="G1" s="79"/>
      <c r="H1" s="77" t="s">
        <v>11</v>
      </c>
      <c r="I1" s="78"/>
      <c r="J1" s="78"/>
      <c r="K1" s="78"/>
      <c r="L1" s="78"/>
      <c r="M1" s="79"/>
      <c r="N1" s="77" t="s">
        <v>2</v>
      </c>
      <c r="O1" s="78"/>
      <c r="P1" s="78"/>
      <c r="Q1" s="78"/>
      <c r="R1" s="78"/>
      <c r="S1" s="79"/>
    </row>
    <row r="2" spans="1:19" ht="16.8" thickBot="1" x14ac:dyDescent="0.35">
      <c r="A2" s="85" t="s">
        <v>1</v>
      </c>
      <c r="B2" s="86"/>
      <c r="C2" s="80"/>
      <c r="D2" s="81"/>
      <c r="E2" s="81"/>
      <c r="F2" s="81"/>
      <c r="G2" s="82"/>
      <c r="H2" s="80"/>
      <c r="I2" s="81"/>
      <c r="J2" s="81"/>
      <c r="K2" s="81"/>
      <c r="L2" s="81"/>
      <c r="M2" s="82"/>
      <c r="N2" s="80"/>
      <c r="O2" s="81"/>
      <c r="P2" s="81"/>
      <c r="Q2" s="81"/>
      <c r="R2" s="81"/>
      <c r="S2" s="82"/>
    </row>
    <row r="3" spans="1:19" ht="16.8" thickBot="1" x14ac:dyDescent="0.35">
      <c r="A3" s="3" t="s">
        <v>3</v>
      </c>
      <c r="B3" s="4" t="s">
        <v>4</v>
      </c>
      <c r="C3" s="5">
        <v>9</v>
      </c>
      <c r="D3" s="6">
        <v>10</v>
      </c>
      <c r="E3" s="6">
        <v>11</v>
      </c>
      <c r="F3" s="6">
        <v>12</v>
      </c>
      <c r="G3" s="7">
        <v>13</v>
      </c>
      <c r="H3" s="5">
        <v>8</v>
      </c>
      <c r="I3" s="5">
        <v>9</v>
      </c>
      <c r="J3" s="6">
        <v>10</v>
      </c>
      <c r="K3" s="6">
        <v>11</v>
      </c>
      <c r="L3" s="6">
        <v>12</v>
      </c>
      <c r="M3" s="7">
        <v>13</v>
      </c>
      <c r="N3" s="5">
        <v>8</v>
      </c>
      <c r="O3" s="5">
        <v>9</v>
      </c>
      <c r="P3" s="6">
        <v>10</v>
      </c>
      <c r="Q3" s="6">
        <v>11</v>
      </c>
      <c r="R3" s="6">
        <v>12</v>
      </c>
      <c r="S3" s="7">
        <v>13</v>
      </c>
    </row>
    <row r="4" spans="1:19" ht="16.8" thickTop="1" x14ac:dyDescent="0.3">
      <c r="A4" s="72" t="s">
        <v>5</v>
      </c>
      <c r="B4" s="74" t="s">
        <v>12</v>
      </c>
      <c r="C4" s="8">
        <v>295</v>
      </c>
      <c r="D4" s="8">
        <v>310</v>
      </c>
      <c r="E4" s="8">
        <v>330</v>
      </c>
      <c r="F4" s="8">
        <v>370</v>
      </c>
      <c r="G4" s="9">
        <v>410</v>
      </c>
      <c r="H4" s="8">
        <v>154</v>
      </c>
      <c r="I4" s="8">
        <v>165</v>
      </c>
      <c r="J4" s="8">
        <v>180</v>
      </c>
      <c r="K4" s="8">
        <v>200</v>
      </c>
      <c r="L4" s="8">
        <v>240</v>
      </c>
      <c r="M4" s="9">
        <v>280</v>
      </c>
      <c r="N4" s="8">
        <v>74</v>
      </c>
      <c r="O4" s="8">
        <v>85</v>
      </c>
      <c r="P4" s="8">
        <v>100</v>
      </c>
      <c r="Q4" s="8">
        <v>120</v>
      </c>
      <c r="R4" s="8">
        <v>160</v>
      </c>
      <c r="S4" s="9">
        <v>200</v>
      </c>
    </row>
    <row r="5" spans="1:19" ht="16.8" thickBot="1" x14ac:dyDescent="0.35">
      <c r="A5" s="73"/>
      <c r="B5" s="64"/>
      <c r="C5" s="10">
        <v>270</v>
      </c>
      <c r="D5" s="10">
        <v>270</v>
      </c>
      <c r="E5" s="10">
        <v>270</v>
      </c>
      <c r="F5" s="10">
        <v>270</v>
      </c>
      <c r="G5" s="11">
        <v>270</v>
      </c>
      <c r="H5" s="10">
        <v>140</v>
      </c>
      <c r="I5" s="10">
        <v>140</v>
      </c>
      <c r="J5" s="10">
        <v>140</v>
      </c>
      <c r="K5" s="10">
        <v>140</v>
      </c>
      <c r="L5" s="10">
        <v>140</v>
      </c>
      <c r="M5" s="11">
        <v>140</v>
      </c>
      <c r="N5" s="10">
        <v>60</v>
      </c>
      <c r="O5" s="10">
        <v>60</v>
      </c>
      <c r="P5" s="10">
        <v>60</v>
      </c>
      <c r="Q5" s="10">
        <v>60</v>
      </c>
      <c r="R5" s="10">
        <v>60</v>
      </c>
      <c r="S5" s="11">
        <v>60</v>
      </c>
    </row>
    <row r="6" spans="1:19" x14ac:dyDescent="0.3">
      <c r="A6" s="75"/>
      <c r="B6" s="63">
        <v>6</v>
      </c>
      <c r="C6" s="8">
        <v>300</v>
      </c>
      <c r="D6" s="8">
        <v>318</v>
      </c>
      <c r="E6" s="8">
        <v>345</v>
      </c>
      <c r="F6" s="8">
        <v>390</v>
      </c>
      <c r="G6" s="9">
        <v>450</v>
      </c>
      <c r="H6" s="8">
        <v>158</v>
      </c>
      <c r="I6" s="8">
        <v>170</v>
      </c>
      <c r="J6" s="8">
        <v>188</v>
      </c>
      <c r="K6" s="8">
        <v>215</v>
      </c>
      <c r="L6" s="8">
        <v>260</v>
      </c>
      <c r="M6" s="9">
        <v>320</v>
      </c>
      <c r="N6" s="8">
        <v>88</v>
      </c>
      <c r="O6" s="8">
        <v>100</v>
      </c>
      <c r="P6" s="8">
        <v>118</v>
      </c>
      <c r="Q6" s="8">
        <v>145</v>
      </c>
      <c r="R6" s="8">
        <v>190</v>
      </c>
      <c r="S6" s="9">
        <v>250</v>
      </c>
    </row>
    <row r="7" spans="1:19" ht="16.8" thickBot="1" x14ac:dyDescent="0.35">
      <c r="A7" s="76"/>
      <c r="B7" s="64"/>
      <c r="C7" s="10">
        <v>270</v>
      </c>
      <c r="D7" s="10">
        <v>270</v>
      </c>
      <c r="E7" s="10">
        <v>270</v>
      </c>
      <c r="F7" s="10">
        <v>270</v>
      </c>
      <c r="G7" s="11">
        <v>270</v>
      </c>
      <c r="H7" s="10">
        <v>140</v>
      </c>
      <c r="I7" s="10">
        <v>140</v>
      </c>
      <c r="J7" s="10">
        <v>140</v>
      </c>
      <c r="K7" s="10">
        <v>140</v>
      </c>
      <c r="L7" s="10">
        <v>140</v>
      </c>
      <c r="M7" s="11">
        <v>140</v>
      </c>
      <c r="N7" s="10">
        <v>70</v>
      </c>
      <c r="O7" s="10">
        <v>70</v>
      </c>
      <c r="P7" s="10">
        <v>70</v>
      </c>
      <c r="Q7" s="10">
        <v>70</v>
      </c>
      <c r="R7" s="10">
        <v>70</v>
      </c>
      <c r="S7" s="11">
        <v>70</v>
      </c>
    </row>
    <row r="8" spans="1:19" x14ac:dyDescent="0.3">
      <c r="A8" s="61">
        <v>6</v>
      </c>
      <c r="B8" s="63">
        <v>10</v>
      </c>
      <c r="C8" s="8">
        <v>316</v>
      </c>
      <c r="D8" s="8">
        <v>338</v>
      </c>
      <c r="E8" s="8">
        <v>370</v>
      </c>
      <c r="F8" s="8">
        <v>430</v>
      </c>
      <c r="G8" s="9">
        <v>500</v>
      </c>
      <c r="H8" s="8">
        <v>172</v>
      </c>
      <c r="I8" s="8">
        <v>186</v>
      </c>
      <c r="J8" s="8">
        <v>208</v>
      </c>
      <c r="K8" s="8">
        <v>240</v>
      </c>
      <c r="L8" s="8">
        <v>300</v>
      </c>
      <c r="M8" s="9">
        <v>370</v>
      </c>
      <c r="N8" s="8">
        <v>102</v>
      </c>
      <c r="O8" s="8">
        <v>116</v>
      </c>
      <c r="P8" s="8">
        <v>138</v>
      </c>
      <c r="Q8" s="8">
        <v>170</v>
      </c>
      <c r="R8" s="8">
        <v>230</v>
      </c>
      <c r="S8" s="9">
        <v>300</v>
      </c>
    </row>
    <row r="9" spans="1:19" ht="16.8" thickBot="1" x14ac:dyDescent="0.35">
      <c r="A9" s="62"/>
      <c r="B9" s="64"/>
      <c r="C9" s="10">
        <v>280</v>
      </c>
      <c r="D9" s="10">
        <v>280</v>
      </c>
      <c r="E9" s="10">
        <v>280</v>
      </c>
      <c r="F9" s="10">
        <v>280</v>
      </c>
      <c r="G9" s="11">
        <v>280</v>
      </c>
      <c r="H9" s="10">
        <v>150</v>
      </c>
      <c r="I9" s="10">
        <v>150</v>
      </c>
      <c r="J9" s="10">
        <v>150</v>
      </c>
      <c r="K9" s="10">
        <v>150</v>
      </c>
      <c r="L9" s="10">
        <v>150</v>
      </c>
      <c r="M9" s="11">
        <v>150</v>
      </c>
      <c r="N9" s="10">
        <v>80</v>
      </c>
      <c r="O9" s="10">
        <v>80</v>
      </c>
      <c r="P9" s="10">
        <v>80</v>
      </c>
      <c r="Q9" s="10">
        <v>80</v>
      </c>
      <c r="R9" s="10">
        <v>80</v>
      </c>
      <c r="S9" s="11">
        <v>80</v>
      </c>
    </row>
    <row r="10" spans="1:19" x14ac:dyDescent="0.3">
      <c r="A10" s="70">
        <v>10</v>
      </c>
      <c r="B10" s="63">
        <v>18</v>
      </c>
      <c r="C10" s="8">
        <v>333</v>
      </c>
      <c r="D10" s="8">
        <v>360</v>
      </c>
      <c r="E10" s="8">
        <v>400</v>
      </c>
      <c r="F10" s="8">
        <v>470</v>
      </c>
      <c r="G10" s="9">
        <v>560</v>
      </c>
      <c r="H10" s="8">
        <v>177</v>
      </c>
      <c r="I10" s="8">
        <v>193</v>
      </c>
      <c r="J10" s="8">
        <v>220</v>
      </c>
      <c r="K10" s="8">
        <v>260</v>
      </c>
      <c r="L10" s="8">
        <v>330</v>
      </c>
      <c r="M10" s="9">
        <v>420</v>
      </c>
      <c r="N10" s="8">
        <v>122</v>
      </c>
      <c r="O10" s="8">
        <v>138</v>
      </c>
      <c r="P10" s="8">
        <v>165</v>
      </c>
      <c r="Q10" s="8">
        <v>205</v>
      </c>
      <c r="R10" s="8">
        <v>275</v>
      </c>
      <c r="S10" s="9">
        <v>365</v>
      </c>
    </row>
    <row r="11" spans="1:19" ht="16.8" thickBot="1" x14ac:dyDescent="0.35">
      <c r="A11" s="71"/>
      <c r="B11" s="64"/>
      <c r="C11" s="10">
        <v>290</v>
      </c>
      <c r="D11" s="10">
        <v>290</v>
      </c>
      <c r="E11" s="10">
        <v>290</v>
      </c>
      <c r="F11" s="10">
        <v>290</v>
      </c>
      <c r="G11" s="11">
        <v>290</v>
      </c>
      <c r="H11" s="10">
        <v>150</v>
      </c>
      <c r="I11" s="10">
        <v>150</v>
      </c>
      <c r="J11" s="10">
        <v>150</v>
      </c>
      <c r="K11" s="10">
        <v>150</v>
      </c>
      <c r="L11" s="10">
        <v>150</v>
      </c>
      <c r="M11" s="11">
        <v>150</v>
      </c>
      <c r="N11" s="10">
        <v>95</v>
      </c>
      <c r="O11" s="10">
        <v>95</v>
      </c>
      <c r="P11" s="10">
        <v>95</v>
      </c>
      <c r="Q11" s="10">
        <v>95</v>
      </c>
      <c r="R11" s="10">
        <v>95</v>
      </c>
      <c r="S11" s="11">
        <v>95</v>
      </c>
    </row>
    <row r="12" spans="1:19" x14ac:dyDescent="0.3">
      <c r="A12" s="70">
        <v>18</v>
      </c>
      <c r="B12" s="63">
        <v>30</v>
      </c>
      <c r="C12" s="8">
        <v>352</v>
      </c>
      <c r="D12" s="8">
        <v>384</v>
      </c>
      <c r="E12" s="8">
        <v>430</v>
      </c>
      <c r="F12" s="8">
        <v>510</v>
      </c>
      <c r="G12" s="9">
        <v>630</v>
      </c>
      <c r="H12" s="8">
        <v>193</v>
      </c>
      <c r="I12" s="8">
        <v>212</v>
      </c>
      <c r="J12" s="8">
        <v>244</v>
      </c>
      <c r="K12" s="8">
        <v>290</v>
      </c>
      <c r="L12" s="8">
        <v>370</v>
      </c>
      <c r="M12" s="9">
        <v>490</v>
      </c>
      <c r="N12" s="8">
        <v>143</v>
      </c>
      <c r="O12" s="8">
        <v>162</v>
      </c>
      <c r="P12" s="8">
        <v>194</v>
      </c>
      <c r="Q12" s="8">
        <v>240</v>
      </c>
      <c r="R12" s="8">
        <v>320</v>
      </c>
      <c r="S12" s="9">
        <v>440</v>
      </c>
    </row>
    <row r="13" spans="1:19" ht="16.8" thickBot="1" x14ac:dyDescent="0.35">
      <c r="A13" s="71"/>
      <c r="B13" s="64"/>
      <c r="C13" s="10">
        <v>300</v>
      </c>
      <c r="D13" s="10">
        <v>300</v>
      </c>
      <c r="E13" s="10">
        <v>300</v>
      </c>
      <c r="F13" s="10">
        <v>300</v>
      </c>
      <c r="G13" s="11">
        <v>300</v>
      </c>
      <c r="H13" s="10">
        <v>160</v>
      </c>
      <c r="I13" s="10">
        <v>160</v>
      </c>
      <c r="J13" s="10">
        <v>160</v>
      </c>
      <c r="K13" s="10">
        <v>160</v>
      </c>
      <c r="L13" s="10">
        <v>160</v>
      </c>
      <c r="M13" s="11">
        <v>160</v>
      </c>
      <c r="N13" s="10">
        <v>110</v>
      </c>
      <c r="O13" s="10">
        <v>110</v>
      </c>
      <c r="P13" s="10">
        <v>110</v>
      </c>
      <c r="Q13" s="10">
        <v>110</v>
      </c>
      <c r="R13" s="10">
        <v>110</v>
      </c>
      <c r="S13" s="11">
        <v>110</v>
      </c>
    </row>
    <row r="14" spans="1:19" x14ac:dyDescent="0.3">
      <c r="A14" s="70">
        <v>30</v>
      </c>
      <c r="B14" s="63">
        <v>40</v>
      </c>
      <c r="C14" s="8">
        <v>372</v>
      </c>
      <c r="D14" s="8">
        <v>410</v>
      </c>
      <c r="E14" s="8">
        <v>470</v>
      </c>
      <c r="F14" s="8">
        <v>560</v>
      </c>
      <c r="G14" s="9">
        <v>700</v>
      </c>
      <c r="H14" s="8">
        <v>209</v>
      </c>
      <c r="I14" s="8">
        <v>232</v>
      </c>
      <c r="J14" s="8">
        <v>270</v>
      </c>
      <c r="K14" s="8">
        <v>330</v>
      </c>
      <c r="L14" s="8">
        <v>420</v>
      </c>
      <c r="M14" s="9">
        <v>560</v>
      </c>
      <c r="N14" s="8">
        <v>159</v>
      </c>
      <c r="O14" s="8">
        <v>182</v>
      </c>
      <c r="P14" s="8">
        <v>220</v>
      </c>
      <c r="Q14" s="8">
        <v>280</v>
      </c>
      <c r="R14" s="8">
        <v>370</v>
      </c>
      <c r="S14" s="9">
        <v>510</v>
      </c>
    </row>
    <row r="15" spans="1:19" ht="16.8" thickBot="1" x14ac:dyDescent="0.35">
      <c r="A15" s="71"/>
      <c r="B15" s="64"/>
      <c r="C15" s="10">
        <v>310</v>
      </c>
      <c r="D15" s="10">
        <v>310</v>
      </c>
      <c r="E15" s="10">
        <v>310</v>
      </c>
      <c r="F15" s="10">
        <v>310</v>
      </c>
      <c r="G15" s="11">
        <v>310</v>
      </c>
      <c r="H15" s="10">
        <v>170</v>
      </c>
      <c r="I15" s="10">
        <v>170</v>
      </c>
      <c r="J15" s="10">
        <v>170</v>
      </c>
      <c r="K15" s="10">
        <v>170</v>
      </c>
      <c r="L15" s="10">
        <v>170</v>
      </c>
      <c r="M15" s="11">
        <v>170</v>
      </c>
      <c r="N15" s="10">
        <v>120</v>
      </c>
      <c r="O15" s="10">
        <v>120</v>
      </c>
      <c r="P15" s="10">
        <v>120</v>
      </c>
      <c r="Q15" s="10">
        <v>120</v>
      </c>
      <c r="R15" s="10">
        <v>120</v>
      </c>
      <c r="S15" s="11">
        <v>120</v>
      </c>
    </row>
    <row r="16" spans="1:19" x14ac:dyDescent="0.3">
      <c r="A16" s="70">
        <v>40</v>
      </c>
      <c r="B16" s="63">
        <v>50</v>
      </c>
      <c r="C16" s="8">
        <v>382</v>
      </c>
      <c r="D16" s="8">
        <v>420</v>
      </c>
      <c r="E16" s="8">
        <v>480</v>
      </c>
      <c r="F16" s="8">
        <v>570</v>
      </c>
      <c r="G16" s="9">
        <v>710</v>
      </c>
      <c r="H16" s="8">
        <v>219</v>
      </c>
      <c r="I16" s="8">
        <v>242</v>
      </c>
      <c r="J16" s="8">
        <v>280</v>
      </c>
      <c r="K16" s="8">
        <v>340</v>
      </c>
      <c r="L16" s="8">
        <v>430</v>
      </c>
      <c r="M16" s="9">
        <v>570</v>
      </c>
      <c r="N16" s="8">
        <v>169</v>
      </c>
      <c r="O16" s="8">
        <v>192</v>
      </c>
      <c r="P16" s="8">
        <v>230</v>
      </c>
      <c r="Q16" s="8">
        <v>290</v>
      </c>
      <c r="R16" s="8">
        <v>380</v>
      </c>
      <c r="S16" s="9">
        <v>520</v>
      </c>
    </row>
    <row r="17" spans="1:19" ht="16.8" thickBot="1" x14ac:dyDescent="0.35">
      <c r="A17" s="71"/>
      <c r="B17" s="64"/>
      <c r="C17" s="10">
        <v>320</v>
      </c>
      <c r="D17" s="10">
        <v>320</v>
      </c>
      <c r="E17" s="10">
        <v>320</v>
      </c>
      <c r="F17" s="10">
        <v>320</v>
      </c>
      <c r="G17" s="11">
        <v>320</v>
      </c>
      <c r="H17" s="10">
        <v>180</v>
      </c>
      <c r="I17" s="10">
        <v>180</v>
      </c>
      <c r="J17" s="10">
        <v>180</v>
      </c>
      <c r="K17" s="10">
        <v>180</v>
      </c>
      <c r="L17" s="10">
        <v>180</v>
      </c>
      <c r="M17" s="11">
        <v>180</v>
      </c>
      <c r="N17" s="10">
        <v>130</v>
      </c>
      <c r="O17" s="10">
        <v>130</v>
      </c>
      <c r="P17" s="10">
        <v>130</v>
      </c>
      <c r="Q17" s="10">
        <v>130</v>
      </c>
      <c r="R17" s="10">
        <v>130</v>
      </c>
      <c r="S17" s="11">
        <v>130</v>
      </c>
    </row>
    <row r="18" spans="1:19" x14ac:dyDescent="0.3">
      <c r="A18" s="70">
        <v>50</v>
      </c>
      <c r="B18" s="63">
        <v>65</v>
      </c>
      <c r="C18" s="8">
        <v>414</v>
      </c>
      <c r="D18" s="8">
        <v>460</v>
      </c>
      <c r="E18" s="8">
        <v>530</v>
      </c>
      <c r="F18" s="8">
        <v>640</v>
      </c>
      <c r="G18" s="9">
        <v>800</v>
      </c>
      <c r="H18" s="8">
        <v>236</v>
      </c>
      <c r="I18" s="8">
        <v>264</v>
      </c>
      <c r="J18" s="8">
        <v>310</v>
      </c>
      <c r="K18" s="8">
        <v>380</v>
      </c>
      <c r="L18" s="8">
        <v>490</v>
      </c>
      <c r="M18" s="9">
        <v>650</v>
      </c>
      <c r="N18" s="8">
        <v>186</v>
      </c>
      <c r="O18" s="8">
        <v>214</v>
      </c>
      <c r="P18" s="8">
        <v>260</v>
      </c>
      <c r="Q18" s="8">
        <v>330</v>
      </c>
      <c r="R18" s="8">
        <v>440</v>
      </c>
      <c r="S18" s="9">
        <v>600</v>
      </c>
    </row>
    <row r="19" spans="1:19" ht="16.8" thickBot="1" x14ac:dyDescent="0.35">
      <c r="A19" s="71"/>
      <c r="B19" s="64"/>
      <c r="C19" s="10">
        <v>340</v>
      </c>
      <c r="D19" s="10">
        <v>340</v>
      </c>
      <c r="E19" s="10">
        <v>340</v>
      </c>
      <c r="F19" s="10">
        <v>340</v>
      </c>
      <c r="G19" s="11">
        <v>340</v>
      </c>
      <c r="H19" s="10">
        <v>190</v>
      </c>
      <c r="I19" s="10">
        <v>190</v>
      </c>
      <c r="J19" s="10">
        <v>190</v>
      </c>
      <c r="K19" s="10">
        <v>190</v>
      </c>
      <c r="L19" s="10">
        <v>190</v>
      </c>
      <c r="M19" s="11">
        <v>190</v>
      </c>
      <c r="N19" s="10">
        <v>140</v>
      </c>
      <c r="O19" s="10">
        <v>140</v>
      </c>
      <c r="P19" s="10">
        <v>140</v>
      </c>
      <c r="Q19" s="10">
        <v>140</v>
      </c>
      <c r="R19" s="10">
        <v>140</v>
      </c>
      <c r="S19" s="11">
        <v>140</v>
      </c>
    </row>
    <row r="20" spans="1:19" x14ac:dyDescent="0.3">
      <c r="A20" s="70">
        <v>65</v>
      </c>
      <c r="B20" s="63">
        <v>80</v>
      </c>
      <c r="C20" s="8">
        <v>434</v>
      </c>
      <c r="D20" s="8">
        <v>480</v>
      </c>
      <c r="E20" s="8">
        <v>550</v>
      </c>
      <c r="F20" s="8">
        <v>660</v>
      </c>
      <c r="G20" s="9">
        <v>820</v>
      </c>
      <c r="H20" s="8">
        <v>246</v>
      </c>
      <c r="I20" s="8">
        <v>274</v>
      </c>
      <c r="J20" s="8">
        <v>320</v>
      </c>
      <c r="K20" s="8">
        <v>390</v>
      </c>
      <c r="L20" s="8">
        <v>500</v>
      </c>
      <c r="M20" s="9">
        <v>660</v>
      </c>
      <c r="N20" s="8">
        <v>196</v>
      </c>
      <c r="O20" s="8">
        <v>224</v>
      </c>
      <c r="P20" s="8">
        <v>270</v>
      </c>
      <c r="Q20" s="8">
        <v>340</v>
      </c>
      <c r="R20" s="8">
        <v>450</v>
      </c>
      <c r="S20" s="9">
        <v>610</v>
      </c>
    </row>
    <row r="21" spans="1:19" ht="16.8" thickBot="1" x14ac:dyDescent="0.35">
      <c r="A21" s="71"/>
      <c r="B21" s="64"/>
      <c r="C21" s="10">
        <v>360</v>
      </c>
      <c r="D21" s="10">
        <v>360</v>
      </c>
      <c r="E21" s="10">
        <v>360</v>
      </c>
      <c r="F21" s="10">
        <v>360</v>
      </c>
      <c r="G21" s="11">
        <v>360</v>
      </c>
      <c r="H21" s="10">
        <v>200</v>
      </c>
      <c r="I21" s="10">
        <v>200</v>
      </c>
      <c r="J21" s="10">
        <v>200</v>
      </c>
      <c r="K21" s="10">
        <v>200</v>
      </c>
      <c r="L21" s="10">
        <v>200</v>
      </c>
      <c r="M21" s="11">
        <v>200</v>
      </c>
      <c r="N21" s="10">
        <v>150</v>
      </c>
      <c r="O21" s="10">
        <v>150</v>
      </c>
      <c r="P21" s="10">
        <v>150</v>
      </c>
      <c r="Q21" s="10">
        <v>150</v>
      </c>
      <c r="R21" s="10">
        <v>150</v>
      </c>
      <c r="S21" s="11">
        <v>150</v>
      </c>
    </row>
    <row r="22" spans="1:19" x14ac:dyDescent="0.3">
      <c r="A22" s="70">
        <v>80</v>
      </c>
      <c r="B22" s="63">
        <v>100</v>
      </c>
      <c r="C22" s="8">
        <v>467</v>
      </c>
      <c r="D22" s="8">
        <v>520</v>
      </c>
      <c r="E22" s="8">
        <v>600</v>
      </c>
      <c r="F22" s="8">
        <v>730</v>
      </c>
      <c r="G22" s="9">
        <v>920</v>
      </c>
      <c r="H22" s="8">
        <v>274</v>
      </c>
      <c r="I22" s="8">
        <v>307</v>
      </c>
      <c r="J22" s="8">
        <v>360</v>
      </c>
      <c r="K22" s="8">
        <v>440</v>
      </c>
      <c r="L22" s="8">
        <v>570</v>
      </c>
      <c r="M22" s="9">
        <v>760</v>
      </c>
      <c r="N22" s="8">
        <v>224</v>
      </c>
      <c r="O22" s="8">
        <v>257</v>
      </c>
      <c r="P22" s="8">
        <v>310</v>
      </c>
      <c r="Q22" s="8">
        <v>390</v>
      </c>
      <c r="R22" s="8">
        <v>520</v>
      </c>
      <c r="S22" s="9">
        <v>710</v>
      </c>
    </row>
    <row r="23" spans="1:19" ht="16.8" thickBot="1" x14ac:dyDescent="0.35">
      <c r="A23" s="71"/>
      <c r="B23" s="64"/>
      <c r="C23" s="10">
        <v>380</v>
      </c>
      <c r="D23" s="10">
        <v>380</v>
      </c>
      <c r="E23" s="10">
        <v>380</v>
      </c>
      <c r="F23" s="10">
        <v>380</v>
      </c>
      <c r="G23" s="11">
        <v>380</v>
      </c>
      <c r="H23" s="10">
        <v>220</v>
      </c>
      <c r="I23" s="10">
        <v>220</v>
      </c>
      <c r="J23" s="10">
        <v>220</v>
      </c>
      <c r="K23" s="10">
        <v>220</v>
      </c>
      <c r="L23" s="10">
        <v>220</v>
      </c>
      <c r="M23" s="11">
        <v>220</v>
      </c>
      <c r="N23" s="10">
        <v>170</v>
      </c>
      <c r="O23" s="10">
        <v>170</v>
      </c>
      <c r="P23" s="10">
        <v>170</v>
      </c>
      <c r="Q23" s="10">
        <v>170</v>
      </c>
      <c r="R23" s="10">
        <v>170</v>
      </c>
      <c r="S23" s="11">
        <v>170</v>
      </c>
    </row>
    <row r="24" spans="1:19" x14ac:dyDescent="0.3">
      <c r="A24" s="61">
        <v>100</v>
      </c>
      <c r="B24" s="63">
        <v>120</v>
      </c>
      <c r="C24" s="8">
        <v>497</v>
      </c>
      <c r="D24" s="8">
        <v>550</v>
      </c>
      <c r="E24" s="8">
        <v>630</v>
      </c>
      <c r="F24" s="8">
        <v>760</v>
      </c>
      <c r="G24" s="9">
        <v>950</v>
      </c>
      <c r="H24" s="8">
        <v>294</v>
      </c>
      <c r="I24" s="8">
        <v>327</v>
      </c>
      <c r="J24" s="8">
        <v>380</v>
      </c>
      <c r="K24" s="8">
        <v>460</v>
      </c>
      <c r="L24" s="8">
        <v>590</v>
      </c>
      <c r="M24" s="9">
        <v>780</v>
      </c>
      <c r="N24" s="8">
        <v>234</v>
      </c>
      <c r="O24" s="8">
        <v>267</v>
      </c>
      <c r="P24" s="8">
        <v>320</v>
      </c>
      <c r="Q24" s="8">
        <v>400</v>
      </c>
      <c r="R24" s="8">
        <v>530</v>
      </c>
      <c r="S24" s="9">
        <v>720</v>
      </c>
    </row>
    <row r="25" spans="1:19" ht="16.8" thickBot="1" x14ac:dyDescent="0.35">
      <c r="A25" s="62"/>
      <c r="B25" s="64"/>
      <c r="C25" s="10">
        <v>410</v>
      </c>
      <c r="D25" s="10">
        <v>410</v>
      </c>
      <c r="E25" s="10">
        <v>410</v>
      </c>
      <c r="F25" s="10">
        <v>410</v>
      </c>
      <c r="G25" s="11">
        <v>410</v>
      </c>
      <c r="H25" s="10">
        <v>240</v>
      </c>
      <c r="I25" s="10">
        <v>240</v>
      </c>
      <c r="J25" s="10">
        <v>240</v>
      </c>
      <c r="K25" s="10">
        <v>240</v>
      </c>
      <c r="L25" s="10">
        <v>240</v>
      </c>
      <c r="M25" s="11">
        <v>240</v>
      </c>
      <c r="N25" s="10">
        <v>180</v>
      </c>
      <c r="O25" s="10">
        <v>180</v>
      </c>
      <c r="P25" s="10">
        <v>180</v>
      </c>
      <c r="Q25" s="10">
        <v>180</v>
      </c>
      <c r="R25" s="10">
        <v>180</v>
      </c>
      <c r="S25" s="11">
        <v>180</v>
      </c>
    </row>
    <row r="26" spans="1:19" x14ac:dyDescent="0.3">
      <c r="A26" s="61">
        <v>120</v>
      </c>
      <c r="B26" s="63">
        <v>140</v>
      </c>
      <c r="C26" s="8">
        <v>560</v>
      </c>
      <c r="D26" s="8">
        <v>620</v>
      </c>
      <c r="E26" s="8">
        <v>710</v>
      </c>
      <c r="F26" s="8">
        <v>860</v>
      </c>
      <c r="G26" s="12">
        <v>1090</v>
      </c>
      <c r="H26" s="8">
        <v>323</v>
      </c>
      <c r="I26" s="8">
        <v>360</v>
      </c>
      <c r="J26" s="8">
        <v>420</v>
      </c>
      <c r="K26" s="8">
        <v>510</v>
      </c>
      <c r="L26" s="8">
        <v>660</v>
      </c>
      <c r="M26" s="9">
        <v>890</v>
      </c>
      <c r="N26" s="8">
        <v>263</v>
      </c>
      <c r="O26" s="8">
        <v>300</v>
      </c>
      <c r="P26" s="8">
        <v>360</v>
      </c>
      <c r="Q26" s="8">
        <v>450</v>
      </c>
      <c r="R26" s="8">
        <v>600</v>
      </c>
      <c r="S26" s="9">
        <v>830</v>
      </c>
    </row>
    <row r="27" spans="1:19" ht="16.8" thickBot="1" x14ac:dyDescent="0.35">
      <c r="A27" s="62"/>
      <c r="B27" s="64"/>
      <c r="C27" s="10">
        <v>460</v>
      </c>
      <c r="D27" s="10">
        <v>460</v>
      </c>
      <c r="E27" s="10">
        <v>460</v>
      </c>
      <c r="F27" s="10">
        <v>460</v>
      </c>
      <c r="G27" s="11">
        <v>460</v>
      </c>
      <c r="H27" s="10">
        <v>260</v>
      </c>
      <c r="I27" s="10">
        <v>260</v>
      </c>
      <c r="J27" s="10">
        <v>260</v>
      </c>
      <c r="K27" s="10">
        <v>260</v>
      </c>
      <c r="L27" s="10">
        <v>260</v>
      </c>
      <c r="M27" s="11">
        <v>260</v>
      </c>
      <c r="N27" s="10">
        <v>200</v>
      </c>
      <c r="O27" s="10">
        <v>200</v>
      </c>
      <c r="P27" s="10">
        <v>200</v>
      </c>
      <c r="Q27" s="10">
        <v>200</v>
      </c>
      <c r="R27" s="10">
        <v>200</v>
      </c>
      <c r="S27" s="11">
        <v>200</v>
      </c>
    </row>
    <row r="28" spans="1:19" x14ac:dyDescent="0.3">
      <c r="A28" s="61">
        <v>140</v>
      </c>
      <c r="B28" s="63">
        <v>160</v>
      </c>
      <c r="C28" s="8">
        <v>620</v>
      </c>
      <c r="D28" s="8">
        <v>680</v>
      </c>
      <c r="E28" s="8">
        <v>770</v>
      </c>
      <c r="F28" s="8">
        <v>920</v>
      </c>
      <c r="G28" s="12">
        <v>1150</v>
      </c>
      <c r="H28" s="8">
        <v>343</v>
      </c>
      <c r="I28" s="8">
        <v>380</v>
      </c>
      <c r="J28" s="8">
        <v>440</v>
      </c>
      <c r="K28" s="8">
        <v>530</v>
      </c>
      <c r="L28" s="8">
        <v>680</v>
      </c>
      <c r="M28" s="9">
        <v>910</v>
      </c>
      <c r="N28" s="8">
        <v>273</v>
      </c>
      <c r="O28" s="8">
        <v>310</v>
      </c>
      <c r="P28" s="8">
        <v>370</v>
      </c>
      <c r="Q28" s="8">
        <v>460</v>
      </c>
      <c r="R28" s="8">
        <v>610</v>
      </c>
      <c r="S28" s="9">
        <v>840</v>
      </c>
    </row>
    <row r="29" spans="1:19" ht="16.8" thickBot="1" x14ac:dyDescent="0.35">
      <c r="A29" s="62"/>
      <c r="B29" s="64"/>
      <c r="C29" s="10">
        <v>520</v>
      </c>
      <c r="D29" s="10">
        <v>520</v>
      </c>
      <c r="E29" s="10">
        <v>520</v>
      </c>
      <c r="F29" s="10">
        <v>520</v>
      </c>
      <c r="G29" s="11">
        <v>520</v>
      </c>
      <c r="H29" s="10">
        <v>280</v>
      </c>
      <c r="I29" s="10">
        <v>280</v>
      </c>
      <c r="J29" s="10">
        <v>280</v>
      </c>
      <c r="K29" s="10">
        <v>280</v>
      </c>
      <c r="L29" s="10">
        <v>280</v>
      </c>
      <c r="M29" s="11">
        <v>280</v>
      </c>
      <c r="N29" s="10">
        <v>210</v>
      </c>
      <c r="O29" s="10">
        <v>210</v>
      </c>
      <c r="P29" s="10">
        <v>210</v>
      </c>
      <c r="Q29" s="10">
        <v>210</v>
      </c>
      <c r="R29" s="10">
        <v>210</v>
      </c>
      <c r="S29" s="11">
        <v>210</v>
      </c>
    </row>
    <row r="30" spans="1:19" x14ac:dyDescent="0.3">
      <c r="A30" s="61">
        <v>160</v>
      </c>
      <c r="B30" s="63">
        <v>180</v>
      </c>
      <c r="C30" s="8">
        <v>680</v>
      </c>
      <c r="D30" s="8">
        <v>740</v>
      </c>
      <c r="E30" s="8">
        <v>830</v>
      </c>
      <c r="F30" s="8">
        <v>980</v>
      </c>
      <c r="G30" s="12">
        <v>1210</v>
      </c>
      <c r="H30" s="8">
        <v>373</v>
      </c>
      <c r="I30" s="8">
        <v>410</v>
      </c>
      <c r="J30" s="8">
        <v>470</v>
      </c>
      <c r="K30" s="8">
        <v>560</v>
      </c>
      <c r="L30" s="8">
        <v>710</v>
      </c>
      <c r="M30" s="9">
        <v>940</v>
      </c>
      <c r="N30" s="8">
        <v>293</v>
      </c>
      <c r="O30" s="8">
        <v>330</v>
      </c>
      <c r="P30" s="8">
        <v>390</v>
      </c>
      <c r="Q30" s="8">
        <v>480</v>
      </c>
      <c r="R30" s="8">
        <v>630</v>
      </c>
      <c r="S30" s="9">
        <v>860</v>
      </c>
    </row>
    <row r="31" spans="1:19" ht="16.8" thickBot="1" x14ac:dyDescent="0.35">
      <c r="A31" s="62"/>
      <c r="B31" s="64"/>
      <c r="C31" s="10">
        <v>580</v>
      </c>
      <c r="D31" s="10">
        <v>580</v>
      </c>
      <c r="E31" s="10">
        <v>580</v>
      </c>
      <c r="F31" s="10">
        <v>580</v>
      </c>
      <c r="G31" s="11">
        <v>580</v>
      </c>
      <c r="H31" s="10">
        <v>310</v>
      </c>
      <c r="I31" s="10">
        <v>310</v>
      </c>
      <c r="J31" s="10">
        <v>310</v>
      </c>
      <c r="K31" s="10">
        <v>310</v>
      </c>
      <c r="L31" s="10">
        <v>310</v>
      </c>
      <c r="M31" s="11">
        <v>310</v>
      </c>
      <c r="N31" s="10">
        <v>230</v>
      </c>
      <c r="O31" s="10">
        <v>230</v>
      </c>
      <c r="P31" s="10">
        <v>230</v>
      </c>
      <c r="Q31" s="10">
        <v>230</v>
      </c>
      <c r="R31" s="10">
        <v>230</v>
      </c>
      <c r="S31" s="11">
        <v>230</v>
      </c>
    </row>
    <row r="32" spans="1:19" x14ac:dyDescent="0.3">
      <c r="A32" s="61">
        <v>180</v>
      </c>
      <c r="B32" s="63">
        <v>200</v>
      </c>
      <c r="C32" s="8">
        <v>775</v>
      </c>
      <c r="D32" s="8">
        <v>845</v>
      </c>
      <c r="E32" s="8">
        <v>950</v>
      </c>
      <c r="F32" s="13">
        <v>1120</v>
      </c>
      <c r="G32" s="12">
        <v>1380</v>
      </c>
      <c r="H32" s="8">
        <v>412</v>
      </c>
      <c r="I32" s="8">
        <v>455</v>
      </c>
      <c r="J32" s="8">
        <v>525</v>
      </c>
      <c r="K32" s="8">
        <v>630</v>
      </c>
      <c r="L32" s="8">
        <v>800</v>
      </c>
      <c r="M32" s="12">
        <v>1060</v>
      </c>
      <c r="N32" s="8">
        <v>312</v>
      </c>
      <c r="O32" s="8">
        <v>355</v>
      </c>
      <c r="P32" s="8">
        <v>425</v>
      </c>
      <c r="Q32" s="8">
        <v>530</v>
      </c>
      <c r="R32" s="8">
        <v>700</v>
      </c>
      <c r="S32" s="9">
        <v>960</v>
      </c>
    </row>
    <row r="33" spans="1:19" ht="16.8" thickBot="1" x14ac:dyDescent="0.35">
      <c r="A33" s="62"/>
      <c r="B33" s="64"/>
      <c r="C33" s="10">
        <v>60</v>
      </c>
      <c r="D33" s="10">
        <v>660</v>
      </c>
      <c r="E33" s="10">
        <v>660</v>
      </c>
      <c r="F33" s="10">
        <v>660</v>
      </c>
      <c r="G33" s="11">
        <v>660</v>
      </c>
      <c r="H33" s="10">
        <v>340</v>
      </c>
      <c r="I33" s="10">
        <v>340</v>
      </c>
      <c r="J33" s="10">
        <v>340</v>
      </c>
      <c r="K33" s="10">
        <v>340</v>
      </c>
      <c r="L33" s="10">
        <v>340</v>
      </c>
      <c r="M33" s="11">
        <v>340</v>
      </c>
      <c r="N33" s="10">
        <v>240</v>
      </c>
      <c r="O33" s="10">
        <v>240</v>
      </c>
      <c r="P33" s="10">
        <v>240</v>
      </c>
      <c r="Q33" s="10">
        <v>240</v>
      </c>
      <c r="R33" s="10">
        <v>240</v>
      </c>
      <c r="S33" s="11">
        <v>240</v>
      </c>
    </row>
    <row r="34" spans="1:19" x14ac:dyDescent="0.3">
      <c r="A34" s="61">
        <v>200</v>
      </c>
      <c r="B34" s="63">
        <v>225</v>
      </c>
      <c r="C34" s="8">
        <v>855</v>
      </c>
      <c r="D34" s="8">
        <v>925</v>
      </c>
      <c r="E34" s="13">
        <v>1030</v>
      </c>
      <c r="F34" s="13">
        <v>1200</v>
      </c>
      <c r="G34" s="12">
        <v>1460</v>
      </c>
      <c r="H34" s="8">
        <v>452</v>
      </c>
      <c r="I34" s="8">
        <v>495</v>
      </c>
      <c r="J34" s="8">
        <v>565</v>
      </c>
      <c r="K34" s="8">
        <v>670</v>
      </c>
      <c r="L34" s="8">
        <v>840</v>
      </c>
      <c r="M34" s="12">
        <v>1100</v>
      </c>
      <c r="N34" s="8">
        <v>332</v>
      </c>
      <c r="O34" s="8">
        <v>375</v>
      </c>
      <c r="P34" s="8">
        <v>445</v>
      </c>
      <c r="Q34" s="8">
        <v>550</v>
      </c>
      <c r="R34" s="8">
        <v>720</v>
      </c>
      <c r="S34" s="9">
        <v>980</v>
      </c>
    </row>
    <row r="35" spans="1:19" ht="16.8" thickBot="1" x14ac:dyDescent="0.35">
      <c r="A35" s="62"/>
      <c r="B35" s="64"/>
      <c r="C35" s="10">
        <v>740</v>
      </c>
      <c r="D35" s="10">
        <v>740</v>
      </c>
      <c r="E35" s="10">
        <v>740</v>
      </c>
      <c r="F35" s="10">
        <v>740</v>
      </c>
      <c r="G35" s="11">
        <v>740</v>
      </c>
      <c r="H35" s="10">
        <v>380</v>
      </c>
      <c r="I35" s="10">
        <v>380</v>
      </c>
      <c r="J35" s="10">
        <v>380</v>
      </c>
      <c r="K35" s="10">
        <v>380</v>
      </c>
      <c r="L35" s="10">
        <v>380</v>
      </c>
      <c r="M35" s="11">
        <v>380</v>
      </c>
      <c r="N35" s="10">
        <v>260</v>
      </c>
      <c r="O35" s="10">
        <v>260</v>
      </c>
      <c r="P35" s="10">
        <v>260</v>
      </c>
      <c r="Q35" s="10">
        <v>260</v>
      </c>
      <c r="R35" s="10">
        <v>260</v>
      </c>
      <c r="S35" s="11">
        <v>260</v>
      </c>
    </row>
    <row r="36" spans="1:19" x14ac:dyDescent="0.3">
      <c r="A36" s="61">
        <v>225</v>
      </c>
      <c r="B36" s="63">
        <v>250</v>
      </c>
      <c r="C36" s="8">
        <v>935</v>
      </c>
      <c r="D36" s="13">
        <v>1005</v>
      </c>
      <c r="E36" s="13">
        <v>1110</v>
      </c>
      <c r="F36" s="13">
        <v>1280</v>
      </c>
      <c r="G36" s="12">
        <v>1540</v>
      </c>
      <c r="H36" s="8">
        <v>492</v>
      </c>
      <c r="I36" s="8">
        <v>535</v>
      </c>
      <c r="J36" s="8">
        <v>605</v>
      </c>
      <c r="K36" s="8">
        <v>710</v>
      </c>
      <c r="L36" s="8">
        <v>880</v>
      </c>
      <c r="M36" s="12">
        <v>1140</v>
      </c>
      <c r="N36" s="8">
        <v>352</v>
      </c>
      <c r="O36" s="8">
        <v>395</v>
      </c>
      <c r="P36" s="8">
        <v>465</v>
      </c>
      <c r="Q36" s="8">
        <v>570</v>
      </c>
      <c r="R36" s="8">
        <v>740</v>
      </c>
      <c r="S36" s="12">
        <v>1000</v>
      </c>
    </row>
    <row r="37" spans="1:19" ht="16.8" thickBot="1" x14ac:dyDescent="0.35">
      <c r="A37" s="62"/>
      <c r="B37" s="64"/>
      <c r="C37" s="10">
        <v>820</v>
      </c>
      <c r="D37" s="10">
        <v>820</v>
      </c>
      <c r="E37" s="10">
        <v>820</v>
      </c>
      <c r="F37" s="10">
        <v>820</v>
      </c>
      <c r="G37" s="11">
        <v>820</v>
      </c>
      <c r="H37" s="10">
        <v>420</v>
      </c>
      <c r="I37" s="10">
        <v>420</v>
      </c>
      <c r="J37" s="10">
        <v>420</v>
      </c>
      <c r="K37" s="10">
        <v>420</v>
      </c>
      <c r="L37" s="10">
        <v>420</v>
      </c>
      <c r="M37" s="11">
        <v>420</v>
      </c>
      <c r="N37" s="10">
        <v>280</v>
      </c>
      <c r="O37" s="10">
        <v>280</v>
      </c>
      <c r="P37" s="10">
        <v>280</v>
      </c>
      <c r="Q37" s="10">
        <v>280</v>
      </c>
      <c r="R37" s="10">
        <v>280</v>
      </c>
      <c r="S37" s="11">
        <v>280</v>
      </c>
    </row>
    <row r="38" spans="1:19" x14ac:dyDescent="0.3">
      <c r="A38" s="61">
        <v>250</v>
      </c>
      <c r="B38" s="63">
        <v>280</v>
      </c>
      <c r="C38" s="13">
        <v>1050</v>
      </c>
      <c r="D38" s="13">
        <v>1130</v>
      </c>
      <c r="E38" s="13">
        <v>1240</v>
      </c>
      <c r="F38" s="13">
        <v>1440</v>
      </c>
      <c r="G38" s="12">
        <v>1730</v>
      </c>
      <c r="H38" s="8">
        <v>561</v>
      </c>
      <c r="I38" s="8">
        <v>610</v>
      </c>
      <c r="J38" s="8">
        <v>690</v>
      </c>
      <c r="K38" s="8">
        <v>800</v>
      </c>
      <c r="L38" s="13">
        <v>1000</v>
      </c>
      <c r="M38" s="12">
        <v>1290</v>
      </c>
      <c r="N38" s="8">
        <v>381</v>
      </c>
      <c r="O38" s="8">
        <v>430</v>
      </c>
      <c r="P38" s="8">
        <v>510</v>
      </c>
      <c r="Q38" s="8">
        <v>620</v>
      </c>
      <c r="R38" s="8">
        <v>820</v>
      </c>
      <c r="S38" s="12">
        <v>1110</v>
      </c>
    </row>
    <row r="39" spans="1:19" ht="16.8" thickBot="1" x14ac:dyDescent="0.35">
      <c r="A39" s="62"/>
      <c r="B39" s="64"/>
      <c r="C39" s="10">
        <v>920</v>
      </c>
      <c r="D39" s="10">
        <v>920</v>
      </c>
      <c r="E39" s="10">
        <v>920</v>
      </c>
      <c r="F39" s="10">
        <v>920</v>
      </c>
      <c r="G39" s="11">
        <v>920</v>
      </c>
      <c r="H39" s="10">
        <v>480</v>
      </c>
      <c r="I39" s="10">
        <v>480</v>
      </c>
      <c r="J39" s="10">
        <v>480</v>
      </c>
      <c r="K39" s="10">
        <v>480</v>
      </c>
      <c r="L39" s="10">
        <v>480</v>
      </c>
      <c r="M39" s="11">
        <v>480</v>
      </c>
      <c r="N39" s="10">
        <v>300</v>
      </c>
      <c r="O39" s="10">
        <v>300</v>
      </c>
      <c r="P39" s="10">
        <v>300</v>
      </c>
      <c r="Q39" s="10">
        <v>300</v>
      </c>
      <c r="R39" s="10">
        <v>300</v>
      </c>
      <c r="S39" s="11">
        <v>300</v>
      </c>
    </row>
    <row r="40" spans="1:19" x14ac:dyDescent="0.3">
      <c r="A40" s="61">
        <v>280</v>
      </c>
      <c r="B40" s="63">
        <v>315</v>
      </c>
      <c r="C40" s="13">
        <v>1180</v>
      </c>
      <c r="D40" s="13">
        <v>1260</v>
      </c>
      <c r="E40" s="13">
        <v>1370</v>
      </c>
      <c r="F40" s="13">
        <v>1570</v>
      </c>
      <c r="G40" s="12">
        <v>1860</v>
      </c>
      <c r="H40" s="8">
        <v>621</v>
      </c>
      <c r="I40" s="8">
        <v>670</v>
      </c>
      <c r="J40" s="8">
        <v>750</v>
      </c>
      <c r="K40" s="8">
        <v>860</v>
      </c>
      <c r="L40" s="13">
        <v>1060</v>
      </c>
      <c r="M40" s="12">
        <v>1350</v>
      </c>
      <c r="N40" s="8">
        <v>411</v>
      </c>
      <c r="O40" s="8">
        <v>460</v>
      </c>
      <c r="P40" s="8">
        <v>540</v>
      </c>
      <c r="Q40" s="8">
        <v>650</v>
      </c>
      <c r="R40" s="8">
        <v>850</v>
      </c>
      <c r="S40" s="12">
        <v>1140</v>
      </c>
    </row>
    <row r="41" spans="1:19" ht="16.8" thickBot="1" x14ac:dyDescent="0.35">
      <c r="A41" s="62"/>
      <c r="B41" s="64"/>
      <c r="C41" s="14">
        <v>1050</v>
      </c>
      <c r="D41" s="14">
        <v>1050</v>
      </c>
      <c r="E41" s="14">
        <v>1050</v>
      </c>
      <c r="F41" s="14">
        <v>1050</v>
      </c>
      <c r="G41" s="15">
        <v>1050</v>
      </c>
      <c r="H41" s="10">
        <v>540</v>
      </c>
      <c r="I41" s="10">
        <v>540</v>
      </c>
      <c r="J41" s="10">
        <v>540</v>
      </c>
      <c r="K41" s="10">
        <v>540</v>
      </c>
      <c r="L41" s="10">
        <v>540</v>
      </c>
      <c r="M41" s="11">
        <v>540</v>
      </c>
      <c r="N41" s="10">
        <v>330</v>
      </c>
      <c r="O41" s="10">
        <v>330</v>
      </c>
      <c r="P41" s="10">
        <v>330</v>
      </c>
      <c r="Q41" s="10">
        <v>330</v>
      </c>
      <c r="R41" s="10">
        <v>330</v>
      </c>
      <c r="S41" s="11">
        <v>330</v>
      </c>
    </row>
    <row r="42" spans="1:19" x14ac:dyDescent="0.3">
      <c r="A42" s="61">
        <v>315</v>
      </c>
      <c r="B42" s="63">
        <v>355</v>
      </c>
      <c r="C42" s="13">
        <v>1340</v>
      </c>
      <c r="D42" s="13">
        <v>1430</v>
      </c>
      <c r="E42" s="13">
        <v>1560</v>
      </c>
      <c r="F42" s="13">
        <v>1770</v>
      </c>
      <c r="G42" s="12">
        <v>2090</v>
      </c>
      <c r="H42" s="8">
        <v>689</v>
      </c>
      <c r="I42" s="8">
        <v>740</v>
      </c>
      <c r="J42" s="8">
        <v>830</v>
      </c>
      <c r="K42" s="8">
        <v>960</v>
      </c>
      <c r="L42" s="13">
        <v>1170</v>
      </c>
      <c r="M42" s="12">
        <v>1490</v>
      </c>
      <c r="N42" s="8">
        <v>449</v>
      </c>
      <c r="O42" s="8">
        <v>500</v>
      </c>
      <c r="P42" s="8">
        <v>590</v>
      </c>
      <c r="Q42" s="8">
        <v>720</v>
      </c>
      <c r="R42" s="8">
        <v>930</v>
      </c>
      <c r="S42" s="12">
        <v>1250</v>
      </c>
    </row>
    <row r="43" spans="1:19" ht="16.8" thickBot="1" x14ac:dyDescent="0.35">
      <c r="A43" s="62"/>
      <c r="B43" s="64"/>
      <c r="C43" s="14">
        <v>1200</v>
      </c>
      <c r="D43" s="14">
        <v>1200</v>
      </c>
      <c r="E43" s="14">
        <v>1200</v>
      </c>
      <c r="F43" s="14">
        <v>1200</v>
      </c>
      <c r="G43" s="15">
        <v>1200</v>
      </c>
      <c r="H43" s="10">
        <v>600</v>
      </c>
      <c r="I43" s="10">
        <v>600</v>
      </c>
      <c r="J43" s="10">
        <v>600</v>
      </c>
      <c r="K43" s="10">
        <v>600</v>
      </c>
      <c r="L43" s="10">
        <v>600</v>
      </c>
      <c r="M43" s="11">
        <v>600</v>
      </c>
      <c r="N43" s="10">
        <v>360</v>
      </c>
      <c r="O43" s="10">
        <v>360</v>
      </c>
      <c r="P43" s="10">
        <v>360</v>
      </c>
      <c r="Q43" s="10">
        <v>360</v>
      </c>
      <c r="R43" s="10">
        <v>360</v>
      </c>
      <c r="S43" s="11">
        <v>360</v>
      </c>
    </row>
    <row r="44" spans="1:19" x14ac:dyDescent="0.3">
      <c r="A44" s="61">
        <v>355</v>
      </c>
      <c r="B44" s="63">
        <v>400</v>
      </c>
      <c r="C44" s="13">
        <v>1490</v>
      </c>
      <c r="D44" s="13">
        <v>1580</v>
      </c>
      <c r="E44" s="13">
        <v>1710</v>
      </c>
      <c r="F44" s="13">
        <v>1920</v>
      </c>
      <c r="G44" s="12">
        <v>2240</v>
      </c>
      <c r="H44" s="8">
        <v>769</v>
      </c>
      <c r="I44" s="8">
        <v>820</v>
      </c>
      <c r="J44" s="8">
        <v>910</v>
      </c>
      <c r="K44" s="13">
        <v>1040</v>
      </c>
      <c r="L44" s="13">
        <v>1250</v>
      </c>
      <c r="M44" s="12">
        <v>1570</v>
      </c>
      <c r="N44" s="8">
        <v>489</v>
      </c>
      <c r="O44" s="8">
        <v>540</v>
      </c>
      <c r="P44" s="8">
        <v>630</v>
      </c>
      <c r="Q44" s="8">
        <v>760</v>
      </c>
      <c r="R44" s="8">
        <v>970</v>
      </c>
      <c r="S44" s="12">
        <v>1290</v>
      </c>
    </row>
    <row r="45" spans="1:19" ht="16.8" thickBot="1" x14ac:dyDescent="0.35">
      <c r="A45" s="62"/>
      <c r="B45" s="64"/>
      <c r="C45" s="14">
        <v>1350</v>
      </c>
      <c r="D45" s="14">
        <v>1350</v>
      </c>
      <c r="E45" s="14">
        <v>1350</v>
      </c>
      <c r="F45" s="14">
        <v>1350</v>
      </c>
      <c r="G45" s="15">
        <v>1350</v>
      </c>
      <c r="H45" s="10">
        <v>680</v>
      </c>
      <c r="I45" s="10">
        <v>680</v>
      </c>
      <c r="J45" s="10">
        <v>680</v>
      </c>
      <c r="K45" s="10">
        <v>680</v>
      </c>
      <c r="L45" s="10">
        <v>680</v>
      </c>
      <c r="M45" s="11">
        <v>680</v>
      </c>
      <c r="N45" s="10">
        <v>400</v>
      </c>
      <c r="O45" s="10">
        <v>400</v>
      </c>
      <c r="P45" s="10">
        <v>400</v>
      </c>
      <c r="Q45" s="10">
        <v>400</v>
      </c>
      <c r="R45" s="10">
        <v>400</v>
      </c>
      <c r="S45" s="11">
        <v>400</v>
      </c>
    </row>
    <row r="46" spans="1:19" x14ac:dyDescent="0.3">
      <c r="A46" s="61">
        <v>400</v>
      </c>
      <c r="B46" s="63">
        <v>450</v>
      </c>
      <c r="C46" s="13">
        <v>1655</v>
      </c>
      <c r="D46" s="13">
        <v>1750</v>
      </c>
      <c r="E46" s="13">
        <v>1900</v>
      </c>
      <c r="F46" s="13">
        <v>2130</v>
      </c>
      <c r="G46" s="12">
        <v>2470</v>
      </c>
      <c r="H46" s="8">
        <v>857</v>
      </c>
      <c r="I46" s="8">
        <v>915</v>
      </c>
      <c r="J46" s="13">
        <v>1010</v>
      </c>
      <c r="K46" s="13">
        <v>1160</v>
      </c>
      <c r="L46" s="13">
        <v>1390</v>
      </c>
      <c r="M46" s="12">
        <v>1730</v>
      </c>
      <c r="N46" s="8">
        <v>537</v>
      </c>
      <c r="O46" s="8">
        <v>595</v>
      </c>
      <c r="P46" s="8">
        <v>690</v>
      </c>
      <c r="Q46" s="8">
        <v>840</v>
      </c>
      <c r="R46" s="13">
        <v>1070</v>
      </c>
      <c r="S46" s="12">
        <v>1410</v>
      </c>
    </row>
    <row r="47" spans="1:19" ht="16.8" thickBot="1" x14ac:dyDescent="0.35">
      <c r="A47" s="62"/>
      <c r="B47" s="64"/>
      <c r="C47" s="14">
        <v>1500</v>
      </c>
      <c r="D47" s="14">
        <v>1500</v>
      </c>
      <c r="E47" s="14">
        <v>1500</v>
      </c>
      <c r="F47" s="14">
        <v>1500</v>
      </c>
      <c r="G47" s="15">
        <v>1500</v>
      </c>
      <c r="H47" s="10">
        <v>760</v>
      </c>
      <c r="I47" s="10">
        <v>760</v>
      </c>
      <c r="J47" s="10">
        <v>760</v>
      </c>
      <c r="K47" s="10">
        <v>760</v>
      </c>
      <c r="L47" s="10">
        <v>760</v>
      </c>
      <c r="M47" s="11">
        <v>760</v>
      </c>
      <c r="N47" s="10">
        <v>440</v>
      </c>
      <c r="O47" s="10">
        <v>440</v>
      </c>
      <c r="P47" s="10">
        <v>440</v>
      </c>
      <c r="Q47" s="10">
        <v>440</v>
      </c>
      <c r="R47" s="10">
        <v>440</v>
      </c>
      <c r="S47" s="11">
        <v>440</v>
      </c>
    </row>
    <row r="48" spans="1:19" x14ac:dyDescent="0.3">
      <c r="A48" s="61">
        <v>450</v>
      </c>
      <c r="B48" s="63">
        <v>500</v>
      </c>
      <c r="C48" s="13">
        <v>1805</v>
      </c>
      <c r="D48" s="13">
        <v>1900</v>
      </c>
      <c r="E48" s="13">
        <v>2050</v>
      </c>
      <c r="F48" s="13">
        <v>2280</v>
      </c>
      <c r="G48" s="12">
        <v>2620</v>
      </c>
      <c r="H48" s="8">
        <v>937</v>
      </c>
      <c r="I48" s="8">
        <v>995</v>
      </c>
      <c r="J48" s="13">
        <v>1090</v>
      </c>
      <c r="K48" s="13">
        <v>1240</v>
      </c>
      <c r="L48" s="13">
        <v>1470</v>
      </c>
      <c r="M48" s="12">
        <v>1810</v>
      </c>
      <c r="N48" s="8">
        <v>577</v>
      </c>
      <c r="O48" s="8">
        <v>635</v>
      </c>
      <c r="P48" s="8">
        <v>730</v>
      </c>
      <c r="Q48" s="8">
        <v>880</v>
      </c>
      <c r="R48" s="13">
        <v>1110</v>
      </c>
      <c r="S48" s="12">
        <v>1450</v>
      </c>
    </row>
    <row r="49" spans="1:19" ht="16.8" thickBot="1" x14ac:dyDescent="0.35">
      <c r="A49" s="65"/>
      <c r="B49" s="66"/>
      <c r="C49" s="16">
        <v>1650</v>
      </c>
      <c r="D49" s="16">
        <v>1650</v>
      </c>
      <c r="E49" s="16">
        <v>1650</v>
      </c>
      <c r="F49" s="16">
        <v>1650</v>
      </c>
      <c r="G49" s="17">
        <v>1650</v>
      </c>
      <c r="H49" s="18">
        <v>840</v>
      </c>
      <c r="I49" s="18">
        <v>840</v>
      </c>
      <c r="J49" s="18">
        <v>840</v>
      </c>
      <c r="K49" s="18">
        <v>840</v>
      </c>
      <c r="L49" s="18">
        <v>840</v>
      </c>
      <c r="M49" s="19">
        <v>840</v>
      </c>
      <c r="N49" s="18">
        <v>480</v>
      </c>
      <c r="O49" s="18">
        <v>480</v>
      </c>
      <c r="P49" s="18">
        <v>480</v>
      </c>
      <c r="Q49" s="18">
        <v>480</v>
      </c>
      <c r="R49" s="18">
        <v>480</v>
      </c>
      <c r="S49" s="19">
        <v>480</v>
      </c>
    </row>
    <row r="50" spans="1:19" ht="17.399999999999999" thickTop="1" thickBot="1" x14ac:dyDescent="0.35">
      <c r="A50" s="67" t="s">
        <v>16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9"/>
    </row>
    <row r="51" spans="1:19" ht="16.8" thickTop="1" x14ac:dyDescent="0.3"/>
  </sheetData>
  <mergeCells count="52">
    <mergeCell ref="N1:S2"/>
    <mergeCell ref="A1:B1"/>
    <mergeCell ref="A2:B2"/>
    <mergeCell ref="C1:G2"/>
    <mergeCell ref="H1:M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8:A49"/>
    <mergeCell ref="B48:B49"/>
    <mergeCell ref="A50:S50"/>
    <mergeCell ref="A42:A43"/>
    <mergeCell ref="B42:B43"/>
    <mergeCell ref="A44:A45"/>
    <mergeCell ref="B44:B45"/>
    <mergeCell ref="A46:A47"/>
    <mergeCell ref="B46:B4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71DD-0AE8-45C8-82DF-953D69F6A5DD}">
  <dimension ref="A1:U47"/>
  <sheetViews>
    <sheetView topLeftCell="A25" workbookViewId="0">
      <selection activeCell="M51" sqref="M51"/>
    </sheetView>
  </sheetViews>
  <sheetFormatPr defaultRowHeight="16.2" x14ac:dyDescent="0.3"/>
  <sheetData>
    <row r="1" spans="1:21" ht="16.8" thickTop="1" x14ac:dyDescent="0.3">
      <c r="A1" s="102" t="s">
        <v>6</v>
      </c>
      <c r="B1" s="103"/>
      <c r="C1" s="92" t="s">
        <v>13</v>
      </c>
      <c r="D1" s="78"/>
      <c r="E1" s="78"/>
      <c r="F1" s="78"/>
      <c r="G1" s="93"/>
      <c r="H1" s="92" t="s">
        <v>7</v>
      </c>
      <c r="I1" s="78"/>
      <c r="J1" s="78"/>
      <c r="K1" s="78"/>
      <c r="L1" s="78"/>
      <c r="M1" s="78"/>
      <c r="N1" s="78"/>
      <c r="O1" s="93"/>
      <c r="P1" s="92" t="s">
        <v>8</v>
      </c>
      <c r="Q1" s="78"/>
      <c r="R1" s="78"/>
      <c r="S1" s="78"/>
      <c r="T1" s="78"/>
      <c r="U1" s="79"/>
    </row>
    <row r="2" spans="1:21" ht="16.8" thickBot="1" x14ac:dyDescent="0.35">
      <c r="A2" s="85" t="s">
        <v>1</v>
      </c>
      <c r="B2" s="104"/>
      <c r="C2" s="94"/>
      <c r="D2" s="81"/>
      <c r="E2" s="81"/>
      <c r="F2" s="81"/>
      <c r="G2" s="95"/>
      <c r="H2" s="94"/>
      <c r="I2" s="81"/>
      <c r="J2" s="81"/>
      <c r="K2" s="81"/>
      <c r="L2" s="81"/>
      <c r="M2" s="81"/>
      <c r="N2" s="81"/>
      <c r="O2" s="95"/>
      <c r="P2" s="94"/>
      <c r="Q2" s="81"/>
      <c r="R2" s="81"/>
      <c r="S2" s="81"/>
      <c r="T2" s="81"/>
      <c r="U2" s="82"/>
    </row>
    <row r="3" spans="1:21" ht="16.8" thickBot="1" x14ac:dyDescent="0.35">
      <c r="A3" s="21" t="s">
        <v>3</v>
      </c>
      <c r="B3" s="22" t="s">
        <v>4</v>
      </c>
      <c r="C3" s="20">
        <v>6</v>
      </c>
      <c r="D3" s="20">
        <v>7</v>
      </c>
      <c r="E3" s="20">
        <v>8</v>
      </c>
      <c r="F3" s="20">
        <v>9</v>
      </c>
      <c r="G3" s="23">
        <v>10</v>
      </c>
      <c r="H3" s="20">
        <v>6</v>
      </c>
      <c r="I3" s="20">
        <v>7</v>
      </c>
      <c r="J3" s="20">
        <v>8</v>
      </c>
      <c r="K3" s="20">
        <v>9</v>
      </c>
      <c r="L3" s="24">
        <v>10</v>
      </c>
      <c r="M3" s="23">
        <v>11</v>
      </c>
      <c r="N3" s="24">
        <v>12</v>
      </c>
      <c r="O3" s="23">
        <v>13</v>
      </c>
      <c r="P3" s="20">
        <v>5</v>
      </c>
      <c r="Q3" s="20">
        <v>6</v>
      </c>
      <c r="R3" s="20">
        <v>7</v>
      </c>
      <c r="S3" s="20">
        <v>8</v>
      </c>
      <c r="T3" s="20">
        <v>9</v>
      </c>
      <c r="U3" s="25">
        <v>10</v>
      </c>
    </row>
    <row r="4" spans="1:21" x14ac:dyDescent="0.3">
      <c r="A4" s="105" t="s">
        <v>5</v>
      </c>
      <c r="B4" s="100">
        <v>3</v>
      </c>
      <c r="C4" s="8">
        <v>40</v>
      </c>
      <c r="D4" s="8">
        <v>44</v>
      </c>
      <c r="E4" s="8">
        <v>48</v>
      </c>
      <c r="F4" s="8">
        <v>59</v>
      </c>
      <c r="G4" s="8">
        <v>74</v>
      </c>
      <c r="H4" s="8">
        <v>26</v>
      </c>
      <c r="I4" s="8">
        <v>30</v>
      </c>
      <c r="J4" s="8">
        <v>34</v>
      </c>
      <c r="K4" s="8">
        <v>45</v>
      </c>
      <c r="L4" s="8">
        <v>60</v>
      </c>
      <c r="M4" s="8">
        <v>80</v>
      </c>
      <c r="N4" s="8">
        <v>120</v>
      </c>
      <c r="O4" s="8">
        <v>160</v>
      </c>
      <c r="P4" s="8">
        <v>18</v>
      </c>
      <c r="Q4" s="8">
        <v>20</v>
      </c>
      <c r="R4" s="8">
        <v>24</v>
      </c>
      <c r="S4" s="8">
        <v>28</v>
      </c>
      <c r="T4" s="8">
        <v>39</v>
      </c>
      <c r="U4" s="9">
        <v>54</v>
      </c>
    </row>
    <row r="5" spans="1:21" ht="16.8" thickBot="1" x14ac:dyDescent="0.35">
      <c r="A5" s="106"/>
      <c r="B5" s="101"/>
      <c r="C5" s="10">
        <v>34</v>
      </c>
      <c r="D5" s="10">
        <v>34</v>
      </c>
      <c r="E5" s="10">
        <v>34</v>
      </c>
      <c r="F5" s="10">
        <v>34</v>
      </c>
      <c r="G5" s="10">
        <v>34</v>
      </c>
      <c r="H5" s="10">
        <v>20</v>
      </c>
      <c r="I5" s="10">
        <v>20</v>
      </c>
      <c r="J5" s="10">
        <v>20</v>
      </c>
      <c r="K5" s="10">
        <v>20</v>
      </c>
      <c r="L5" s="10">
        <v>20</v>
      </c>
      <c r="M5" s="10">
        <v>20</v>
      </c>
      <c r="N5" s="10">
        <v>20</v>
      </c>
      <c r="O5" s="10">
        <v>20</v>
      </c>
      <c r="P5" s="10">
        <v>14</v>
      </c>
      <c r="Q5" s="10">
        <v>14</v>
      </c>
      <c r="R5" s="10">
        <v>14</v>
      </c>
      <c r="S5" s="10">
        <v>14</v>
      </c>
      <c r="T5" s="10">
        <v>14</v>
      </c>
      <c r="U5" s="11">
        <v>14</v>
      </c>
    </row>
    <row r="6" spans="1:21" x14ac:dyDescent="0.3">
      <c r="A6" s="61">
        <v>3</v>
      </c>
      <c r="B6" s="100">
        <v>6</v>
      </c>
      <c r="C6" s="8">
        <v>54</v>
      </c>
      <c r="D6" s="8">
        <v>58</v>
      </c>
      <c r="E6" s="8">
        <v>64</v>
      </c>
      <c r="F6" s="8">
        <v>76</v>
      </c>
      <c r="G6" s="8">
        <v>94</v>
      </c>
      <c r="H6" s="8">
        <v>38</v>
      </c>
      <c r="I6" s="8">
        <v>42</v>
      </c>
      <c r="J6" s="8">
        <v>48</v>
      </c>
      <c r="K6" s="8">
        <v>60</v>
      </c>
      <c r="L6" s="8">
        <v>78</v>
      </c>
      <c r="M6" s="8">
        <v>105</v>
      </c>
      <c r="N6" s="8">
        <v>150</v>
      </c>
      <c r="O6" s="8">
        <v>210</v>
      </c>
      <c r="P6" s="8">
        <v>25</v>
      </c>
      <c r="Q6" s="8">
        <v>28</v>
      </c>
      <c r="R6" s="8">
        <v>32</v>
      </c>
      <c r="S6" s="8">
        <v>38</v>
      </c>
      <c r="T6" s="8">
        <v>50</v>
      </c>
      <c r="U6" s="9">
        <v>68</v>
      </c>
    </row>
    <row r="7" spans="1:21" ht="16.8" thickBot="1" x14ac:dyDescent="0.35">
      <c r="A7" s="62"/>
      <c r="B7" s="101"/>
      <c r="C7" s="10">
        <v>46</v>
      </c>
      <c r="D7" s="10">
        <v>46</v>
      </c>
      <c r="E7" s="10">
        <v>46</v>
      </c>
      <c r="F7" s="10">
        <v>46</v>
      </c>
      <c r="G7" s="10">
        <v>46</v>
      </c>
      <c r="H7" s="10">
        <v>30</v>
      </c>
      <c r="I7" s="10">
        <v>30</v>
      </c>
      <c r="J7" s="10">
        <v>30</v>
      </c>
      <c r="K7" s="10">
        <v>30</v>
      </c>
      <c r="L7" s="10">
        <v>30</v>
      </c>
      <c r="M7" s="10">
        <v>30</v>
      </c>
      <c r="N7" s="10">
        <v>30</v>
      </c>
      <c r="O7" s="10">
        <v>30</v>
      </c>
      <c r="P7" s="10">
        <v>20</v>
      </c>
      <c r="Q7" s="10">
        <v>20</v>
      </c>
      <c r="R7" s="10">
        <v>20</v>
      </c>
      <c r="S7" s="10">
        <v>20</v>
      </c>
      <c r="T7" s="10">
        <v>20</v>
      </c>
      <c r="U7" s="11">
        <v>20</v>
      </c>
    </row>
    <row r="8" spans="1:21" x14ac:dyDescent="0.3">
      <c r="A8" s="61">
        <v>6</v>
      </c>
      <c r="B8" s="100">
        <v>10</v>
      </c>
      <c r="C8" s="8">
        <v>65</v>
      </c>
      <c r="D8" s="8">
        <v>71</v>
      </c>
      <c r="E8" s="8">
        <v>78</v>
      </c>
      <c r="F8" s="8">
        <v>92</v>
      </c>
      <c r="G8" s="8">
        <v>114</v>
      </c>
      <c r="H8" s="8">
        <v>49</v>
      </c>
      <c r="I8" s="8">
        <v>55</v>
      </c>
      <c r="J8" s="8">
        <v>62</v>
      </c>
      <c r="K8" s="8">
        <v>76</v>
      </c>
      <c r="L8" s="8">
        <v>98</v>
      </c>
      <c r="M8" s="8">
        <v>130</v>
      </c>
      <c r="N8" s="8">
        <v>190</v>
      </c>
      <c r="O8" s="8">
        <v>260</v>
      </c>
      <c r="P8" s="8">
        <v>31</v>
      </c>
      <c r="Q8" s="8">
        <v>34</v>
      </c>
      <c r="R8" s="8">
        <v>40</v>
      </c>
      <c r="S8" s="8">
        <v>47</v>
      </c>
      <c r="T8" s="8">
        <v>61</v>
      </c>
      <c r="U8" s="9">
        <v>83</v>
      </c>
    </row>
    <row r="9" spans="1:21" ht="16.8" thickBot="1" x14ac:dyDescent="0.35">
      <c r="A9" s="62"/>
      <c r="B9" s="101"/>
      <c r="C9" s="10">
        <v>56</v>
      </c>
      <c r="D9" s="10">
        <v>56</v>
      </c>
      <c r="E9" s="10">
        <v>56</v>
      </c>
      <c r="F9" s="10">
        <v>56</v>
      </c>
      <c r="G9" s="10">
        <v>56</v>
      </c>
      <c r="H9" s="10">
        <v>40</v>
      </c>
      <c r="I9" s="10">
        <v>40</v>
      </c>
      <c r="J9" s="10">
        <v>40</v>
      </c>
      <c r="K9" s="10">
        <v>40</v>
      </c>
      <c r="L9" s="10">
        <v>40</v>
      </c>
      <c r="M9" s="10">
        <v>40</v>
      </c>
      <c r="N9" s="10">
        <v>40</v>
      </c>
      <c r="O9" s="10">
        <v>40</v>
      </c>
      <c r="P9" s="10">
        <v>25</v>
      </c>
      <c r="Q9" s="10">
        <v>25</v>
      </c>
      <c r="R9" s="10">
        <v>25</v>
      </c>
      <c r="S9" s="10">
        <v>25</v>
      </c>
      <c r="T9" s="10">
        <v>25</v>
      </c>
      <c r="U9" s="11">
        <v>25</v>
      </c>
    </row>
    <row r="10" spans="1:21" x14ac:dyDescent="0.3">
      <c r="A10" s="61">
        <v>10</v>
      </c>
      <c r="B10" s="100">
        <v>18</v>
      </c>
      <c r="C10" s="26">
        <v>81</v>
      </c>
      <c r="D10" s="26">
        <v>88</v>
      </c>
      <c r="E10" s="26">
        <v>97</v>
      </c>
      <c r="F10" s="26">
        <v>113</v>
      </c>
      <c r="G10" s="26">
        <v>140</v>
      </c>
      <c r="H10" s="8">
        <v>61</v>
      </c>
      <c r="I10" s="8">
        <v>68</v>
      </c>
      <c r="J10" s="8">
        <v>77</v>
      </c>
      <c r="K10" s="8">
        <v>93</v>
      </c>
      <c r="L10" s="8">
        <v>120</v>
      </c>
      <c r="M10" s="8">
        <v>160</v>
      </c>
      <c r="N10" s="8">
        <v>230</v>
      </c>
      <c r="O10" s="8">
        <v>320</v>
      </c>
      <c r="P10" s="8">
        <v>40</v>
      </c>
      <c r="Q10" s="8">
        <v>43</v>
      </c>
      <c r="R10" s="8">
        <v>50</v>
      </c>
      <c r="S10" s="8">
        <v>59</v>
      </c>
      <c r="T10" s="8">
        <v>75</v>
      </c>
      <c r="U10" s="9">
        <v>102</v>
      </c>
    </row>
    <row r="11" spans="1:21" ht="16.8" thickBot="1" x14ac:dyDescent="0.35">
      <c r="A11" s="62"/>
      <c r="B11" s="101"/>
      <c r="C11" s="27">
        <v>70</v>
      </c>
      <c r="D11" s="27">
        <v>70</v>
      </c>
      <c r="E11" s="27">
        <v>70</v>
      </c>
      <c r="F11" s="27">
        <v>70</v>
      </c>
      <c r="G11" s="27">
        <v>70</v>
      </c>
      <c r="H11" s="10">
        <v>50</v>
      </c>
      <c r="I11" s="10">
        <v>50</v>
      </c>
      <c r="J11" s="10">
        <v>50</v>
      </c>
      <c r="K11" s="10">
        <v>50</v>
      </c>
      <c r="L11" s="10">
        <v>50</v>
      </c>
      <c r="M11" s="10">
        <v>50</v>
      </c>
      <c r="N11" s="10">
        <v>50</v>
      </c>
      <c r="O11" s="10">
        <v>50</v>
      </c>
      <c r="P11" s="10">
        <v>32</v>
      </c>
      <c r="Q11" s="10">
        <v>32</v>
      </c>
      <c r="R11" s="10">
        <v>32</v>
      </c>
      <c r="S11" s="10">
        <v>32</v>
      </c>
      <c r="T11" s="10">
        <v>32</v>
      </c>
      <c r="U11" s="11">
        <v>32</v>
      </c>
    </row>
    <row r="12" spans="1:21" x14ac:dyDescent="0.3">
      <c r="A12" s="61">
        <v>18</v>
      </c>
      <c r="B12" s="100">
        <v>30</v>
      </c>
      <c r="C12" s="26">
        <v>98</v>
      </c>
      <c r="D12" s="26">
        <v>106</v>
      </c>
      <c r="E12" s="26">
        <v>118</v>
      </c>
      <c r="F12" s="26">
        <v>137</v>
      </c>
      <c r="G12" s="26">
        <v>169</v>
      </c>
      <c r="H12" s="8">
        <v>78</v>
      </c>
      <c r="I12" s="8">
        <v>86</v>
      </c>
      <c r="J12" s="8">
        <v>98</v>
      </c>
      <c r="K12" s="8">
        <v>117</v>
      </c>
      <c r="L12" s="8">
        <v>149</v>
      </c>
      <c r="M12" s="8">
        <v>195</v>
      </c>
      <c r="N12" s="8">
        <v>275</v>
      </c>
      <c r="O12" s="8">
        <v>395</v>
      </c>
      <c r="P12" s="8">
        <v>49</v>
      </c>
      <c r="Q12" s="8">
        <v>53</v>
      </c>
      <c r="R12" s="8">
        <v>61</v>
      </c>
      <c r="S12" s="8">
        <v>73</v>
      </c>
      <c r="T12" s="8">
        <v>92</v>
      </c>
      <c r="U12" s="9">
        <v>124</v>
      </c>
    </row>
    <row r="13" spans="1:21" ht="16.8" thickBot="1" x14ac:dyDescent="0.35">
      <c r="A13" s="62"/>
      <c r="B13" s="101"/>
      <c r="C13" s="27">
        <v>85</v>
      </c>
      <c r="D13" s="27">
        <v>85</v>
      </c>
      <c r="E13" s="27">
        <v>85</v>
      </c>
      <c r="F13" s="27">
        <v>85</v>
      </c>
      <c r="G13" s="27">
        <v>85</v>
      </c>
      <c r="H13" s="10">
        <v>65</v>
      </c>
      <c r="I13" s="10">
        <v>65</v>
      </c>
      <c r="J13" s="10">
        <v>65</v>
      </c>
      <c r="K13" s="10">
        <v>65</v>
      </c>
      <c r="L13" s="10">
        <v>65</v>
      </c>
      <c r="M13" s="10">
        <v>65</v>
      </c>
      <c r="N13" s="10">
        <v>65</v>
      </c>
      <c r="O13" s="10">
        <v>65</v>
      </c>
      <c r="P13" s="10">
        <v>40</v>
      </c>
      <c r="Q13" s="10">
        <v>40</v>
      </c>
      <c r="R13" s="10">
        <v>40</v>
      </c>
      <c r="S13" s="10">
        <v>40</v>
      </c>
      <c r="T13" s="10">
        <v>40</v>
      </c>
      <c r="U13" s="11">
        <v>40</v>
      </c>
    </row>
    <row r="14" spans="1:21" x14ac:dyDescent="0.3">
      <c r="A14" s="61">
        <v>30</v>
      </c>
      <c r="B14" s="100">
        <v>50</v>
      </c>
      <c r="C14" s="26">
        <v>116</v>
      </c>
      <c r="D14" s="26">
        <v>125</v>
      </c>
      <c r="E14" s="26">
        <v>139</v>
      </c>
      <c r="F14" s="26">
        <v>162</v>
      </c>
      <c r="G14" s="26">
        <v>200</v>
      </c>
      <c r="H14" s="8">
        <v>96</v>
      </c>
      <c r="I14" s="8">
        <v>105</v>
      </c>
      <c r="J14" s="8">
        <v>119</v>
      </c>
      <c r="K14" s="8">
        <v>142</v>
      </c>
      <c r="L14" s="8">
        <v>180</v>
      </c>
      <c r="M14" s="8">
        <v>240</v>
      </c>
      <c r="N14" s="8">
        <v>330</v>
      </c>
      <c r="O14" s="8">
        <v>470</v>
      </c>
      <c r="P14" s="8">
        <v>61</v>
      </c>
      <c r="Q14" s="8">
        <v>66</v>
      </c>
      <c r="R14" s="8">
        <v>75</v>
      </c>
      <c r="S14" s="8">
        <v>89</v>
      </c>
      <c r="T14" s="8">
        <v>112</v>
      </c>
      <c r="U14" s="9">
        <v>150</v>
      </c>
    </row>
    <row r="15" spans="1:21" ht="16.8" thickBot="1" x14ac:dyDescent="0.35">
      <c r="A15" s="62"/>
      <c r="B15" s="101"/>
      <c r="C15" s="27">
        <v>100</v>
      </c>
      <c r="D15" s="27">
        <v>100</v>
      </c>
      <c r="E15" s="27">
        <v>100</v>
      </c>
      <c r="F15" s="27">
        <v>100</v>
      </c>
      <c r="G15" s="27">
        <v>100</v>
      </c>
      <c r="H15" s="10">
        <v>80</v>
      </c>
      <c r="I15" s="10">
        <v>80</v>
      </c>
      <c r="J15" s="10">
        <v>80</v>
      </c>
      <c r="K15" s="10">
        <v>80</v>
      </c>
      <c r="L15" s="10">
        <v>80</v>
      </c>
      <c r="M15" s="10">
        <v>80</v>
      </c>
      <c r="N15" s="10">
        <v>80</v>
      </c>
      <c r="O15" s="10">
        <v>80</v>
      </c>
      <c r="P15" s="10">
        <v>50</v>
      </c>
      <c r="Q15" s="10">
        <v>50</v>
      </c>
      <c r="R15" s="10">
        <v>50</v>
      </c>
      <c r="S15" s="10">
        <v>50</v>
      </c>
      <c r="T15" s="10">
        <v>50</v>
      </c>
      <c r="U15" s="11">
        <v>50</v>
      </c>
    </row>
    <row r="16" spans="1:21" x14ac:dyDescent="0.3">
      <c r="A16" s="61">
        <v>50</v>
      </c>
      <c r="B16" s="100">
        <v>80</v>
      </c>
      <c r="C16" s="87"/>
      <c r="D16" s="87"/>
      <c r="E16" s="87"/>
      <c r="F16" s="87"/>
      <c r="G16" s="87"/>
      <c r="H16" s="8">
        <v>119</v>
      </c>
      <c r="I16" s="8">
        <v>130</v>
      </c>
      <c r="J16" s="8">
        <v>146</v>
      </c>
      <c r="K16" s="8">
        <v>174</v>
      </c>
      <c r="L16" s="8">
        <v>220</v>
      </c>
      <c r="M16" s="8">
        <v>290</v>
      </c>
      <c r="N16" s="8">
        <v>400</v>
      </c>
      <c r="O16" s="8">
        <v>560</v>
      </c>
      <c r="P16" s="8">
        <v>73</v>
      </c>
      <c r="Q16" s="8">
        <v>79</v>
      </c>
      <c r="R16" s="8">
        <v>90</v>
      </c>
      <c r="S16" s="8">
        <v>106</v>
      </c>
      <c r="T16" s="8">
        <v>134</v>
      </c>
      <c r="U16" s="9">
        <v>180</v>
      </c>
    </row>
    <row r="17" spans="1:21" ht="16.8" thickBot="1" x14ac:dyDescent="0.35">
      <c r="A17" s="62"/>
      <c r="B17" s="101"/>
      <c r="C17" s="88"/>
      <c r="D17" s="88"/>
      <c r="E17" s="88"/>
      <c r="F17" s="88"/>
      <c r="G17" s="88"/>
      <c r="H17" s="10">
        <v>100</v>
      </c>
      <c r="I17" s="10">
        <v>100</v>
      </c>
      <c r="J17" s="10">
        <v>100</v>
      </c>
      <c r="K17" s="10">
        <v>100</v>
      </c>
      <c r="L17" s="10">
        <v>100</v>
      </c>
      <c r="M17" s="10">
        <v>100</v>
      </c>
      <c r="N17" s="10">
        <v>100</v>
      </c>
      <c r="O17" s="10">
        <v>100</v>
      </c>
      <c r="P17" s="10">
        <v>60</v>
      </c>
      <c r="Q17" s="10">
        <v>60</v>
      </c>
      <c r="R17" s="10">
        <v>60</v>
      </c>
      <c r="S17" s="10">
        <v>60</v>
      </c>
      <c r="T17" s="10">
        <v>60</v>
      </c>
      <c r="U17" s="11">
        <v>60</v>
      </c>
    </row>
    <row r="18" spans="1:21" x14ac:dyDescent="0.3">
      <c r="A18" s="61">
        <v>80</v>
      </c>
      <c r="B18" s="100">
        <v>120</v>
      </c>
      <c r="C18" s="87"/>
      <c r="D18" s="87"/>
      <c r="E18" s="87"/>
      <c r="F18" s="87"/>
      <c r="G18" s="87"/>
      <c r="H18" s="8">
        <v>142</v>
      </c>
      <c r="I18" s="8">
        <v>155</v>
      </c>
      <c r="J18" s="8">
        <v>174</v>
      </c>
      <c r="K18" s="8">
        <v>207</v>
      </c>
      <c r="L18" s="8">
        <v>260</v>
      </c>
      <c r="M18" s="8">
        <v>340</v>
      </c>
      <c r="N18" s="8">
        <v>470</v>
      </c>
      <c r="O18" s="8">
        <v>660</v>
      </c>
      <c r="P18" s="8">
        <v>87</v>
      </c>
      <c r="Q18" s="8">
        <v>94</v>
      </c>
      <c r="R18" s="8">
        <v>107</v>
      </c>
      <c r="S18" s="8">
        <v>126</v>
      </c>
      <c r="T18" s="8">
        <v>159</v>
      </c>
      <c r="U18" s="9">
        <v>212</v>
      </c>
    </row>
    <row r="19" spans="1:21" ht="16.8" thickBot="1" x14ac:dyDescent="0.35">
      <c r="A19" s="62"/>
      <c r="B19" s="101"/>
      <c r="C19" s="88"/>
      <c r="D19" s="88"/>
      <c r="E19" s="88"/>
      <c r="F19" s="88"/>
      <c r="G19" s="88"/>
      <c r="H19" s="10">
        <v>120</v>
      </c>
      <c r="I19" s="10">
        <v>120</v>
      </c>
      <c r="J19" s="10">
        <v>120</v>
      </c>
      <c r="K19" s="10">
        <v>120</v>
      </c>
      <c r="L19" s="10">
        <v>120</v>
      </c>
      <c r="M19" s="10">
        <v>120</v>
      </c>
      <c r="N19" s="10">
        <v>120</v>
      </c>
      <c r="O19" s="10">
        <v>120</v>
      </c>
      <c r="P19" s="10">
        <v>72</v>
      </c>
      <c r="Q19" s="10">
        <v>72</v>
      </c>
      <c r="R19" s="10">
        <v>72</v>
      </c>
      <c r="S19" s="10">
        <v>72</v>
      </c>
      <c r="T19" s="10">
        <v>72</v>
      </c>
      <c r="U19" s="11">
        <v>72</v>
      </c>
    </row>
    <row r="20" spans="1:21" x14ac:dyDescent="0.3">
      <c r="A20" s="61">
        <v>120</v>
      </c>
      <c r="B20" s="100">
        <v>180</v>
      </c>
      <c r="C20" s="87"/>
      <c r="D20" s="87"/>
      <c r="E20" s="87"/>
      <c r="F20" s="87"/>
      <c r="G20" s="87"/>
      <c r="H20" s="8">
        <v>170</v>
      </c>
      <c r="I20" s="8">
        <v>185</v>
      </c>
      <c r="J20" s="8">
        <v>208</v>
      </c>
      <c r="K20" s="8">
        <v>245</v>
      </c>
      <c r="L20" s="8">
        <v>305</v>
      </c>
      <c r="M20" s="8">
        <v>395</v>
      </c>
      <c r="N20" s="8">
        <v>545</v>
      </c>
      <c r="O20" s="8">
        <v>775</v>
      </c>
      <c r="P20" s="8">
        <v>103</v>
      </c>
      <c r="Q20" s="8">
        <v>110</v>
      </c>
      <c r="R20" s="8">
        <v>125</v>
      </c>
      <c r="S20" s="8">
        <v>148</v>
      </c>
      <c r="T20" s="8">
        <v>185</v>
      </c>
      <c r="U20" s="9">
        <v>245</v>
      </c>
    </row>
    <row r="21" spans="1:21" ht="16.8" thickBot="1" x14ac:dyDescent="0.35">
      <c r="A21" s="62"/>
      <c r="B21" s="101"/>
      <c r="C21" s="88"/>
      <c r="D21" s="88"/>
      <c r="E21" s="88"/>
      <c r="F21" s="88"/>
      <c r="G21" s="88"/>
      <c r="H21" s="10">
        <v>145</v>
      </c>
      <c r="I21" s="10">
        <v>145</v>
      </c>
      <c r="J21" s="10">
        <v>145</v>
      </c>
      <c r="K21" s="10">
        <v>145</v>
      </c>
      <c r="L21" s="10">
        <v>145</v>
      </c>
      <c r="M21" s="10">
        <v>145</v>
      </c>
      <c r="N21" s="10">
        <v>145</v>
      </c>
      <c r="O21" s="10">
        <v>145</v>
      </c>
      <c r="P21" s="10">
        <v>85</v>
      </c>
      <c r="Q21" s="10">
        <v>85</v>
      </c>
      <c r="R21" s="10">
        <v>85</v>
      </c>
      <c r="S21" s="10">
        <v>85</v>
      </c>
      <c r="T21" s="10">
        <v>85</v>
      </c>
      <c r="U21" s="11">
        <v>85</v>
      </c>
    </row>
    <row r="22" spans="1:21" x14ac:dyDescent="0.3">
      <c r="A22" s="61">
        <v>180</v>
      </c>
      <c r="B22" s="100">
        <v>250</v>
      </c>
      <c r="C22" s="87"/>
      <c r="D22" s="87"/>
      <c r="E22" s="87"/>
      <c r="F22" s="87"/>
      <c r="G22" s="87"/>
      <c r="H22" s="8">
        <v>199</v>
      </c>
      <c r="I22" s="8">
        <v>216</v>
      </c>
      <c r="J22" s="8">
        <v>242</v>
      </c>
      <c r="K22" s="8">
        <v>285</v>
      </c>
      <c r="L22" s="8">
        <v>355</v>
      </c>
      <c r="M22" s="8">
        <v>460</v>
      </c>
      <c r="N22" s="8">
        <v>630</v>
      </c>
      <c r="O22" s="8">
        <v>890</v>
      </c>
      <c r="P22" s="8">
        <v>120</v>
      </c>
      <c r="Q22" s="8">
        <v>129</v>
      </c>
      <c r="R22" s="8">
        <v>146</v>
      </c>
      <c r="S22" s="8">
        <v>172</v>
      </c>
      <c r="T22" s="8">
        <v>215</v>
      </c>
      <c r="U22" s="9">
        <v>285</v>
      </c>
    </row>
    <row r="23" spans="1:21" ht="16.8" thickBot="1" x14ac:dyDescent="0.35">
      <c r="A23" s="62"/>
      <c r="B23" s="101"/>
      <c r="C23" s="88"/>
      <c r="D23" s="88"/>
      <c r="E23" s="88"/>
      <c r="F23" s="88"/>
      <c r="G23" s="88"/>
      <c r="H23" s="10">
        <v>170</v>
      </c>
      <c r="I23" s="10">
        <v>170</v>
      </c>
      <c r="J23" s="10">
        <v>170</v>
      </c>
      <c r="K23" s="10">
        <v>170</v>
      </c>
      <c r="L23" s="10">
        <v>170</v>
      </c>
      <c r="M23" s="10">
        <v>170</v>
      </c>
      <c r="N23" s="10">
        <v>170</v>
      </c>
      <c r="O23" s="10">
        <v>170</v>
      </c>
      <c r="P23" s="10">
        <v>100</v>
      </c>
      <c r="Q23" s="10">
        <v>100</v>
      </c>
      <c r="R23" s="10">
        <v>100</v>
      </c>
      <c r="S23" s="10">
        <v>100</v>
      </c>
      <c r="T23" s="10">
        <v>100</v>
      </c>
      <c r="U23" s="11">
        <v>100</v>
      </c>
    </row>
    <row r="24" spans="1:21" x14ac:dyDescent="0.3">
      <c r="A24" s="61">
        <v>250</v>
      </c>
      <c r="B24" s="100">
        <v>315</v>
      </c>
      <c r="C24" s="87"/>
      <c r="D24" s="87"/>
      <c r="E24" s="87"/>
      <c r="F24" s="87"/>
      <c r="G24" s="87"/>
      <c r="H24" s="8">
        <v>222</v>
      </c>
      <c r="I24" s="8">
        <v>242</v>
      </c>
      <c r="J24" s="8">
        <v>271</v>
      </c>
      <c r="K24" s="8">
        <v>320</v>
      </c>
      <c r="L24" s="8">
        <v>400</v>
      </c>
      <c r="M24" s="8">
        <v>510</v>
      </c>
      <c r="N24" s="8">
        <v>710</v>
      </c>
      <c r="O24" s="13">
        <v>1000</v>
      </c>
      <c r="P24" s="8">
        <v>133</v>
      </c>
      <c r="Q24" s="8">
        <v>142</v>
      </c>
      <c r="R24" s="8">
        <v>162</v>
      </c>
      <c r="S24" s="8">
        <v>191</v>
      </c>
      <c r="T24" s="8">
        <v>240</v>
      </c>
      <c r="U24" s="9">
        <v>320</v>
      </c>
    </row>
    <row r="25" spans="1:21" ht="16.8" thickBot="1" x14ac:dyDescent="0.35">
      <c r="A25" s="62"/>
      <c r="B25" s="101"/>
      <c r="C25" s="88"/>
      <c r="D25" s="88"/>
      <c r="E25" s="88"/>
      <c r="F25" s="88"/>
      <c r="G25" s="88"/>
      <c r="H25" s="10">
        <v>190</v>
      </c>
      <c r="I25" s="10">
        <v>190</v>
      </c>
      <c r="J25" s="10">
        <v>190</v>
      </c>
      <c r="K25" s="10">
        <v>190</v>
      </c>
      <c r="L25" s="10">
        <v>190</v>
      </c>
      <c r="M25" s="10">
        <v>190</v>
      </c>
      <c r="N25" s="10">
        <v>190</v>
      </c>
      <c r="O25" s="10">
        <v>190</v>
      </c>
      <c r="P25" s="10">
        <v>110</v>
      </c>
      <c r="Q25" s="10">
        <v>110</v>
      </c>
      <c r="R25" s="10">
        <v>110</v>
      </c>
      <c r="S25" s="10">
        <v>110</v>
      </c>
      <c r="T25" s="10">
        <v>110</v>
      </c>
      <c r="U25" s="11">
        <v>110</v>
      </c>
    </row>
    <row r="26" spans="1:21" x14ac:dyDescent="0.3">
      <c r="A26" s="61">
        <v>315</v>
      </c>
      <c r="B26" s="100">
        <v>400</v>
      </c>
      <c r="C26" s="87"/>
      <c r="D26" s="87"/>
      <c r="E26" s="87"/>
      <c r="F26" s="87"/>
      <c r="G26" s="87"/>
      <c r="H26" s="8">
        <v>246</v>
      </c>
      <c r="I26" s="8">
        <v>267</v>
      </c>
      <c r="J26" s="8">
        <v>299</v>
      </c>
      <c r="K26" s="8">
        <v>350</v>
      </c>
      <c r="L26" s="8">
        <v>440</v>
      </c>
      <c r="M26" s="8">
        <v>570</v>
      </c>
      <c r="N26" s="8">
        <v>780</v>
      </c>
      <c r="O26" s="13">
        <v>1100</v>
      </c>
      <c r="P26" s="8">
        <v>150</v>
      </c>
      <c r="Q26" s="8">
        <v>161</v>
      </c>
      <c r="R26" s="8">
        <v>182</v>
      </c>
      <c r="S26" s="8">
        <v>214</v>
      </c>
      <c r="T26" s="8">
        <v>265</v>
      </c>
      <c r="U26" s="9">
        <v>355</v>
      </c>
    </row>
    <row r="27" spans="1:21" ht="16.8" thickBot="1" x14ac:dyDescent="0.35">
      <c r="A27" s="62"/>
      <c r="B27" s="101"/>
      <c r="C27" s="88"/>
      <c r="D27" s="88"/>
      <c r="E27" s="88"/>
      <c r="F27" s="88"/>
      <c r="G27" s="88"/>
      <c r="H27" s="10">
        <v>210</v>
      </c>
      <c r="I27" s="10">
        <v>210</v>
      </c>
      <c r="J27" s="10">
        <v>210</v>
      </c>
      <c r="K27" s="10">
        <v>210</v>
      </c>
      <c r="L27" s="10">
        <v>210</v>
      </c>
      <c r="M27" s="10">
        <v>210</v>
      </c>
      <c r="N27" s="10">
        <v>210</v>
      </c>
      <c r="O27" s="10">
        <v>210</v>
      </c>
      <c r="P27" s="10">
        <v>125</v>
      </c>
      <c r="Q27" s="10">
        <v>125</v>
      </c>
      <c r="R27" s="10">
        <v>125</v>
      </c>
      <c r="S27" s="10">
        <v>125</v>
      </c>
      <c r="T27" s="10">
        <v>125</v>
      </c>
      <c r="U27" s="11">
        <v>125</v>
      </c>
    </row>
    <row r="28" spans="1:21" x14ac:dyDescent="0.3">
      <c r="A28" s="61">
        <v>400</v>
      </c>
      <c r="B28" s="100">
        <v>500</v>
      </c>
      <c r="C28" s="87"/>
      <c r="D28" s="87"/>
      <c r="E28" s="87"/>
      <c r="F28" s="87"/>
      <c r="G28" s="87"/>
      <c r="H28" s="8">
        <v>270</v>
      </c>
      <c r="I28" s="8">
        <v>293</v>
      </c>
      <c r="J28" s="8">
        <v>327</v>
      </c>
      <c r="K28" s="8">
        <v>385</v>
      </c>
      <c r="L28" s="8">
        <v>480</v>
      </c>
      <c r="M28" s="8">
        <v>630</v>
      </c>
      <c r="N28" s="8">
        <v>860</v>
      </c>
      <c r="O28" s="13">
        <v>1200</v>
      </c>
      <c r="P28" s="8">
        <v>162</v>
      </c>
      <c r="Q28" s="8">
        <v>175</v>
      </c>
      <c r="R28" s="8">
        <v>198</v>
      </c>
      <c r="S28" s="8">
        <v>232</v>
      </c>
      <c r="T28" s="8">
        <v>290</v>
      </c>
      <c r="U28" s="9">
        <v>385</v>
      </c>
    </row>
    <row r="29" spans="1:21" ht="16.8" thickBot="1" x14ac:dyDescent="0.35">
      <c r="A29" s="62"/>
      <c r="B29" s="101"/>
      <c r="C29" s="88"/>
      <c r="D29" s="88"/>
      <c r="E29" s="88"/>
      <c r="F29" s="88"/>
      <c r="G29" s="88"/>
      <c r="H29" s="10">
        <v>230</v>
      </c>
      <c r="I29" s="10">
        <v>230</v>
      </c>
      <c r="J29" s="10">
        <v>230</v>
      </c>
      <c r="K29" s="10">
        <v>230</v>
      </c>
      <c r="L29" s="10">
        <v>230</v>
      </c>
      <c r="M29" s="10">
        <v>230</v>
      </c>
      <c r="N29" s="10">
        <v>230</v>
      </c>
      <c r="O29" s="10">
        <v>230</v>
      </c>
      <c r="P29" s="10">
        <v>135</v>
      </c>
      <c r="Q29" s="10">
        <v>135</v>
      </c>
      <c r="R29" s="10">
        <v>135</v>
      </c>
      <c r="S29" s="10">
        <v>135</v>
      </c>
      <c r="T29" s="10">
        <v>135</v>
      </c>
      <c r="U29" s="11">
        <v>135</v>
      </c>
    </row>
    <row r="30" spans="1:21" x14ac:dyDescent="0.3">
      <c r="A30" s="61">
        <v>500</v>
      </c>
      <c r="B30" s="100">
        <v>630</v>
      </c>
      <c r="C30" s="87"/>
      <c r="D30" s="87"/>
      <c r="E30" s="87"/>
      <c r="F30" s="87"/>
      <c r="G30" s="87"/>
      <c r="H30" s="8">
        <v>304</v>
      </c>
      <c r="I30" s="8">
        <v>330</v>
      </c>
      <c r="J30" s="8">
        <v>370</v>
      </c>
      <c r="K30" s="8">
        <v>435</v>
      </c>
      <c r="L30" s="8">
        <v>540</v>
      </c>
      <c r="M30" s="8">
        <v>700</v>
      </c>
      <c r="N30" s="8">
        <v>960</v>
      </c>
      <c r="O30" s="13">
        <v>1360</v>
      </c>
      <c r="P30" s="26">
        <v>177</v>
      </c>
      <c r="Q30" s="8">
        <v>189</v>
      </c>
      <c r="R30" s="8">
        <v>215</v>
      </c>
      <c r="S30" s="8">
        <v>255</v>
      </c>
      <c r="T30" s="8">
        <v>320</v>
      </c>
      <c r="U30" s="9">
        <v>425</v>
      </c>
    </row>
    <row r="31" spans="1:21" ht="16.8" thickBot="1" x14ac:dyDescent="0.35">
      <c r="A31" s="62"/>
      <c r="B31" s="101"/>
      <c r="C31" s="88"/>
      <c r="D31" s="88"/>
      <c r="E31" s="88"/>
      <c r="F31" s="88"/>
      <c r="G31" s="88"/>
      <c r="H31" s="10">
        <v>260</v>
      </c>
      <c r="I31" s="10">
        <v>260</v>
      </c>
      <c r="J31" s="10">
        <v>260</v>
      </c>
      <c r="K31" s="10">
        <v>260</v>
      </c>
      <c r="L31" s="10">
        <v>260</v>
      </c>
      <c r="M31" s="10">
        <v>260</v>
      </c>
      <c r="N31" s="10">
        <v>260</v>
      </c>
      <c r="O31" s="10">
        <v>260</v>
      </c>
      <c r="P31" s="27">
        <v>145</v>
      </c>
      <c r="Q31" s="10">
        <v>145</v>
      </c>
      <c r="R31" s="10">
        <v>145</v>
      </c>
      <c r="S31" s="10">
        <v>145</v>
      </c>
      <c r="T31" s="10">
        <v>145</v>
      </c>
      <c r="U31" s="11">
        <v>145</v>
      </c>
    </row>
    <row r="32" spans="1:21" x14ac:dyDescent="0.3">
      <c r="A32" s="61">
        <v>630</v>
      </c>
      <c r="B32" s="100">
        <v>800</v>
      </c>
      <c r="C32" s="87"/>
      <c r="D32" s="87"/>
      <c r="E32" s="87"/>
      <c r="F32" s="87"/>
      <c r="G32" s="87"/>
      <c r="H32" s="8">
        <v>340</v>
      </c>
      <c r="I32" s="8">
        <v>370</v>
      </c>
      <c r="J32" s="8">
        <v>415</v>
      </c>
      <c r="K32" s="8">
        <v>490</v>
      </c>
      <c r="L32" s="8">
        <v>610</v>
      </c>
      <c r="M32" s="8">
        <v>790</v>
      </c>
      <c r="N32" s="13">
        <v>1090</v>
      </c>
      <c r="O32" s="13">
        <v>1540</v>
      </c>
      <c r="P32" s="26">
        <v>196</v>
      </c>
      <c r="Q32" s="8">
        <v>210</v>
      </c>
      <c r="R32" s="8">
        <v>240</v>
      </c>
      <c r="S32" s="8">
        <v>285</v>
      </c>
      <c r="T32" s="8">
        <v>360</v>
      </c>
      <c r="U32" s="9">
        <v>480</v>
      </c>
    </row>
    <row r="33" spans="1:21" ht="16.8" thickBot="1" x14ac:dyDescent="0.35">
      <c r="A33" s="62"/>
      <c r="B33" s="101"/>
      <c r="C33" s="88"/>
      <c r="D33" s="88"/>
      <c r="E33" s="88"/>
      <c r="F33" s="88"/>
      <c r="G33" s="88"/>
      <c r="H33" s="10">
        <v>290</v>
      </c>
      <c r="I33" s="10">
        <v>290</v>
      </c>
      <c r="J33" s="10">
        <v>290</v>
      </c>
      <c r="K33" s="10">
        <v>290</v>
      </c>
      <c r="L33" s="10">
        <v>290</v>
      </c>
      <c r="M33" s="10">
        <v>290</v>
      </c>
      <c r="N33" s="10">
        <v>290</v>
      </c>
      <c r="O33" s="10">
        <v>290</v>
      </c>
      <c r="P33" s="27">
        <v>160</v>
      </c>
      <c r="Q33" s="10">
        <v>160</v>
      </c>
      <c r="R33" s="10">
        <v>160</v>
      </c>
      <c r="S33" s="10">
        <v>160</v>
      </c>
      <c r="T33" s="10">
        <v>160</v>
      </c>
      <c r="U33" s="11">
        <v>160</v>
      </c>
    </row>
    <row r="34" spans="1:21" x14ac:dyDescent="0.3">
      <c r="A34" s="61">
        <v>800</v>
      </c>
      <c r="B34" s="98">
        <v>1000</v>
      </c>
      <c r="C34" s="87"/>
      <c r="D34" s="87"/>
      <c r="E34" s="87"/>
      <c r="F34" s="87"/>
      <c r="G34" s="87"/>
      <c r="H34" s="8">
        <v>376</v>
      </c>
      <c r="I34" s="8">
        <v>410</v>
      </c>
      <c r="J34" s="8">
        <v>460</v>
      </c>
      <c r="K34" s="8">
        <v>550</v>
      </c>
      <c r="L34" s="8">
        <v>680</v>
      </c>
      <c r="M34" s="8">
        <v>880</v>
      </c>
      <c r="N34" s="13">
        <v>1220</v>
      </c>
      <c r="O34" s="13">
        <v>1720</v>
      </c>
      <c r="P34" s="26">
        <v>210</v>
      </c>
      <c r="Q34" s="8">
        <v>226</v>
      </c>
      <c r="R34" s="8">
        <v>260</v>
      </c>
      <c r="S34" s="8">
        <v>310</v>
      </c>
      <c r="T34" s="8">
        <v>400</v>
      </c>
      <c r="U34" s="9">
        <v>530</v>
      </c>
    </row>
    <row r="35" spans="1:21" ht="16.8" thickBot="1" x14ac:dyDescent="0.35">
      <c r="A35" s="62"/>
      <c r="B35" s="99"/>
      <c r="C35" s="88"/>
      <c r="D35" s="88"/>
      <c r="E35" s="88"/>
      <c r="F35" s="88"/>
      <c r="G35" s="88"/>
      <c r="H35" s="10">
        <v>320</v>
      </c>
      <c r="I35" s="10">
        <v>320</v>
      </c>
      <c r="J35" s="10">
        <v>320</v>
      </c>
      <c r="K35" s="10">
        <v>320</v>
      </c>
      <c r="L35" s="10">
        <v>320</v>
      </c>
      <c r="M35" s="10">
        <v>320</v>
      </c>
      <c r="N35" s="10">
        <v>320</v>
      </c>
      <c r="O35" s="10">
        <v>320</v>
      </c>
      <c r="P35" s="27">
        <v>170</v>
      </c>
      <c r="Q35" s="10">
        <v>170</v>
      </c>
      <c r="R35" s="10">
        <v>170</v>
      </c>
      <c r="S35" s="10">
        <v>170</v>
      </c>
      <c r="T35" s="10">
        <v>170</v>
      </c>
      <c r="U35" s="11">
        <v>170</v>
      </c>
    </row>
    <row r="36" spans="1:21" x14ac:dyDescent="0.3">
      <c r="A36" s="96">
        <v>1000</v>
      </c>
      <c r="B36" s="98">
        <v>1250</v>
      </c>
      <c r="C36" s="87"/>
      <c r="D36" s="87"/>
      <c r="E36" s="87"/>
      <c r="F36" s="87"/>
      <c r="G36" s="87"/>
      <c r="H36" s="8">
        <v>416</v>
      </c>
      <c r="I36" s="8">
        <v>455</v>
      </c>
      <c r="J36" s="8">
        <v>515</v>
      </c>
      <c r="K36" s="8">
        <v>610</v>
      </c>
      <c r="L36" s="8">
        <v>770</v>
      </c>
      <c r="M36" s="13">
        <v>1010</v>
      </c>
      <c r="N36" s="13">
        <v>1400</v>
      </c>
      <c r="O36" s="13">
        <v>2000</v>
      </c>
      <c r="P36" s="26">
        <v>242</v>
      </c>
      <c r="Q36" s="8">
        <v>261</v>
      </c>
      <c r="R36" s="8">
        <v>300</v>
      </c>
      <c r="S36" s="8">
        <v>360</v>
      </c>
      <c r="T36" s="8">
        <v>455</v>
      </c>
      <c r="U36" s="9">
        <v>615</v>
      </c>
    </row>
    <row r="37" spans="1:21" ht="16.8" thickBot="1" x14ac:dyDescent="0.35">
      <c r="A37" s="97"/>
      <c r="B37" s="99"/>
      <c r="C37" s="88"/>
      <c r="D37" s="88"/>
      <c r="E37" s="88"/>
      <c r="F37" s="88"/>
      <c r="G37" s="88"/>
      <c r="H37" s="10">
        <v>350</v>
      </c>
      <c r="I37" s="10">
        <v>350</v>
      </c>
      <c r="J37" s="10">
        <v>350</v>
      </c>
      <c r="K37" s="10">
        <v>350</v>
      </c>
      <c r="L37" s="10">
        <v>350</v>
      </c>
      <c r="M37" s="10">
        <v>350</v>
      </c>
      <c r="N37" s="10">
        <v>350</v>
      </c>
      <c r="O37" s="10">
        <v>350</v>
      </c>
      <c r="P37" s="27">
        <v>195</v>
      </c>
      <c r="Q37" s="10">
        <v>195</v>
      </c>
      <c r="R37" s="10">
        <v>195</v>
      </c>
      <c r="S37" s="10">
        <v>195</v>
      </c>
      <c r="T37" s="10">
        <v>195</v>
      </c>
      <c r="U37" s="11">
        <v>195</v>
      </c>
    </row>
    <row r="38" spans="1:21" x14ac:dyDescent="0.3">
      <c r="A38" s="96">
        <v>1250</v>
      </c>
      <c r="B38" s="98">
        <v>1600</v>
      </c>
      <c r="C38" s="87"/>
      <c r="D38" s="87"/>
      <c r="E38" s="87"/>
      <c r="F38" s="87"/>
      <c r="G38" s="87"/>
      <c r="H38" s="8">
        <v>468</v>
      </c>
      <c r="I38" s="8">
        <v>515</v>
      </c>
      <c r="J38" s="8">
        <v>585</v>
      </c>
      <c r="K38" s="8">
        <v>700</v>
      </c>
      <c r="L38" s="8">
        <v>890</v>
      </c>
      <c r="M38" s="13">
        <v>1170</v>
      </c>
      <c r="N38" s="13">
        <v>1640</v>
      </c>
      <c r="O38" s="13">
        <v>2340</v>
      </c>
      <c r="P38" s="26">
        <v>275</v>
      </c>
      <c r="Q38" s="8">
        <v>298</v>
      </c>
      <c r="R38" s="8">
        <v>345</v>
      </c>
      <c r="S38" s="8">
        <v>415</v>
      </c>
      <c r="T38" s="8">
        <v>530</v>
      </c>
      <c r="U38" s="9">
        <v>720</v>
      </c>
    </row>
    <row r="39" spans="1:21" ht="16.8" thickBot="1" x14ac:dyDescent="0.35">
      <c r="A39" s="97"/>
      <c r="B39" s="99"/>
      <c r="C39" s="88"/>
      <c r="D39" s="88"/>
      <c r="E39" s="88"/>
      <c r="F39" s="88"/>
      <c r="G39" s="88"/>
      <c r="H39" s="10">
        <v>390</v>
      </c>
      <c r="I39" s="10">
        <v>390</v>
      </c>
      <c r="J39" s="10">
        <v>390</v>
      </c>
      <c r="K39" s="10">
        <v>390</v>
      </c>
      <c r="L39" s="10">
        <v>390</v>
      </c>
      <c r="M39" s="10">
        <v>390</v>
      </c>
      <c r="N39" s="10">
        <v>390</v>
      </c>
      <c r="O39" s="10">
        <v>390</v>
      </c>
      <c r="P39" s="27">
        <v>220</v>
      </c>
      <c r="Q39" s="10">
        <v>220</v>
      </c>
      <c r="R39" s="10">
        <v>220</v>
      </c>
      <c r="S39" s="10">
        <v>220</v>
      </c>
      <c r="T39" s="10">
        <v>220</v>
      </c>
      <c r="U39" s="11">
        <v>220</v>
      </c>
    </row>
    <row r="40" spans="1:21" x14ac:dyDescent="0.3">
      <c r="A40" s="96">
        <v>1600</v>
      </c>
      <c r="B40" s="98">
        <v>2000</v>
      </c>
      <c r="C40" s="87"/>
      <c r="D40" s="87"/>
      <c r="E40" s="87"/>
      <c r="F40" s="87"/>
      <c r="G40" s="87"/>
      <c r="H40" s="8">
        <v>522</v>
      </c>
      <c r="I40" s="8">
        <v>580</v>
      </c>
      <c r="J40" s="8">
        <v>660</v>
      </c>
      <c r="K40" s="8">
        <v>800</v>
      </c>
      <c r="L40" s="13">
        <v>1030</v>
      </c>
      <c r="M40" s="13">
        <v>1350</v>
      </c>
      <c r="N40" s="13">
        <v>1930</v>
      </c>
      <c r="O40" s="13">
        <v>2730</v>
      </c>
      <c r="P40" s="26">
        <v>305</v>
      </c>
      <c r="Q40" s="8">
        <v>332</v>
      </c>
      <c r="R40" s="8">
        <v>390</v>
      </c>
      <c r="S40" s="8">
        <v>470</v>
      </c>
      <c r="T40" s="8">
        <v>610</v>
      </c>
      <c r="U40" s="9">
        <v>840</v>
      </c>
    </row>
    <row r="41" spans="1:21" ht="16.8" thickBot="1" x14ac:dyDescent="0.35">
      <c r="A41" s="97"/>
      <c r="B41" s="99"/>
      <c r="C41" s="88"/>
      <c r="D41" s="88"/>
      <c r="E41" s="88"/>
      <c r="F41" s="88"/>
      <c r="G41" s="88"/>
      <c r="H41" s="10">
        <v>430</v>
      </c>
      <c r="I41" s="10">
        <v>430</v>
      </c>
      <c r="J41" s="10">
        <v>430</v>
      </c>
      <c r="K41" s="10">
        <v>430</v>
      </c>
      <c r="L41" s="10">
        <v>430</v>
      </c>
      <c r="M41" s="10">
        <v>430</v>
      </c>
      <c r="N41" s="10">
        <v>430</v>
      </c>
      <c r="O41" s="10">
        <v>430</v>
      </c>
      <c r="P41" s="27">
        <v>240</v>
      </c>
      <c r="Q41" s="10">
        <v>240</v>
      </c>
      <c r="R41" s="10">
        <v>240</v>
      </c>
      <c r="S41" s="10">
        <v>240</v>
      </c>
      <c r="T41" s="10">
        <v>240</v>
      </c>
      <c r="U41" s="11">
        <v>240</v>
      </c>
    </row>
    <row r="42" spans="1:21" x14ac:dyDescent="0.3">
      <c r="A42" s="96">
        <v>2000</v>
      </c>
      <c r="B42" s="98">
        <v>2500</v>
      </c>
      <c r="C42" s="87"/>
      <c r="D42" s="87"/>
      <c r="E42" s="87"/>
      <c r="F42" s="87"/>
      <c r="G42" s="87"/>
      <c r="H42" s="8">
        <v>590</v>
      </c>
      <c r="I42" s="8">
        <v>655</v>
      </c>
      <c r="J42" s="8">
        <v>760</v>
      </c>
      <c r="K42" s="8">
        <v>920</v>
      </c>
      <c r="L42" s="13">
        <v>1180</v>
      </c>
      <c r="M42" s="13">
        <v>1580</v>
      </c>
      <c r="N42" s="13">
        <v>2230</v>
      </c>
      <c r="O42" s="13">
        <v>3280</v>
      </c>
      <c r="P42" s="26">
        <v>338</v>
      </c>
      <c r="Q42" s="8">
        <v>370</v>
      </c>
      <c r="R42" s="8">
        <v>435</v>
      </c>
      <c r="S42" s="8">
        <v>540</v>
      </c>
      <c r="T42" s="8">
        <v>700</v>
      </c>
      <c r="U42" s="9">
        <v>960</v>
      </c>
    </row>
    <row r="43" spans="1:21" ht="16.8" thickBot="1" x14ac:dyDescent="0.35">
      <c r="A43" s="97"/>
      <c r="B43" s="99"/>
      <c r="C43" s="88"/>
      <c r="D43" s="88"/>
      <c r="E43" s="88"/>
      <c r="F43" s="88"/>
      <c r="G43" s="88"/>
      <c r="H43" s="10">
        <v>480</v>
      </c>
      <c r="I43" s="10">
        <v>480</v>
      </c>
      <c r="J43" s="10">
        <v>480</v>
      </c>
      <c r="K43" s="10">
        <v>480</v>
      </c>
      <c r="L43" s="10">
        <v>480</v>
      </c>
      <c r="M43" s="10">
        <v>480</v>
      </c>
      <c r="N43" s="10">
        <v>480</v>
      </c>
      <c r="O43" s="10">
        <v>480</v>
      </c>
      <c r="P43" s="27">
        <v>260</v>
      </c>
      <c r="Q43" s="10">
        <v>260</v>
      </c>
      <c r="R43" s="10">
        <v>260</v>
      </c>
      <c r="S43" s="10">
        <v>260</v>
      </c>
      <c r="T43" s="10">
        <v>260</v>
      </c>
      <c r="U43" s="11">
        <v>260</v>
      </c>
    </row>
    <row r="44" spans="1:21" x14ac:dyDescent="0.3">
      <c r="A44" s="96">
        <v>2500</v>
      </c>
      <c r="B44" s="98">
        <v>3150</v>
      </c>
      <c r="C44" s="87"/>
      <c r="D44" s="87"/>
      <c r="E44" s="87"/>
      <c r="F44" s="87"/>
      <c r="G44" s="87"/>
      <c r="H44" s="8">
        <v>655</v>
      </c>
      <c r="I44" s="8">
        <v>730</v>
      </c>
      <c r="J44" s="8">
        <v>850</v>
      </c>
      <c r="K44" s="13">
        <v>1060</v>
      </c>
      <c r="L44" s="13">
        <v>1380</v>
      </c>
      <c r="M44" s="13">
        <v>1870</v>
      </c>
      <c r="N44" s="13">
        <v>2620</v>
      </c>
      <c r="O44" s="13">
        <v>3820</v>
      </c>
      <c r="P44" s="26">
        <v>386</v>
      </c>
      <c r="Q44" s="8">
        <v>425</v>
      </c>
      <c r="R44" s="8">
        <v>500</v>
      </c>
      <c r="S44" s="8">
        <v>620</v>
      </c>
      <c r="T44" s="8">
        <v>830</v>
      </c>
      <c r="U44" s="12">
        <v>1150</v>
      </c>
    </row>
    <row r="45" spans="1:21" ht="16.8" thickBot="1" x14ac:dyDescent="0.35">
      <c r="A45" s="97"/>
      <c r="B45" s="99"/>
      <c r="C45" s="88"/>
      <c r="D45" s="88"/>
      <c r="E45" s="88"/>
      <c r="F45" s="88"/>
      <c r="G45" s="88"/>
      <c r="H45" s="10">
        <v>520</v>
      </c>
      <c r="I45" s="10">
        <v>520</v>
      </c>
      <c r="J45" s="10">
        <v>520</v>
      </c>
      <c r="K45" s="10">
        <v>520</v>
      </c>
      <c r="L45" s="10">
        <v>520</v>
      </c>
      <c r="M45" s="10">
        <v>520</v>
      </c>
      <c r="N45" s="10">
        <v>520</v>
      </c>
      <c r="O45" s="10">
        <v>520</v>
      </c>
      <c r="P45" s="27">
        <v>290</v>
      </c>
      <c r="Q45" s="10">
        <v>290</v>
      </c>
      <c r="R45" s="10">
        <v>290</v>
      </c>
      <c r="S45" s="10">
        <v>290</v>
      </c>
      <c r="T45" s="10">
        <v>290</v>
      </c>
      <c r="U45" s="11">
        <v>290</v>
      </c>
    </row>
    <row r="46" spans="1:21" ht="16.8" thickBot="1" x14ac:dyDescent="0.35">
      <c r="A46" s="89" t="s">
        <v>14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1"/>
    </row>
    <row r="47" spans="1:21" ht="16.8" thickTop="1" x14ac:dyDescent="0.3"/>
  </sheetData>
  <mergeCells count="123">
    <mergeCell ref="B8:B9"/>
    <mergeCell ref="A10:A11"/>
    <mergeCell ref="B10:B11"/>
    <mergeCell ref="A1:B1"/>
    <mergeCell ref="A2:B2"/>
    <mergeCell ref="A4:A5"/>
    <mergeCell ref="B4:B5"/>
    <mergeCell ref="A42:A43"/>
    <mergeCell ref="B42:B43"/>
    <mergeCell ref="A38:A39"/>
    <mergeCell ref="B38:B39"/>
    <mergeCell ref="A30:A31"/>
    <mergeCell ref="B30:B31"/>
    <mergeCell ref="C30:C31"/>
    <mergeCell ref="A24:A25"/>
    <mergeCell ref="B24:B25"/>
    <mergeCell ref="A26:A27"/>
    <mergeCell ref="B26:B27"/>
    <mergeCell ref="A28:A29"/>
    <mergeCell ref="B28:B29"/>
    <mergeCell ref="C16:C17"/>
    <mergeCell ref="D16:D17"/>
    <mergeCell ref="C24:C25"/>
    <mergeCell ref="D24:D25"/>
    <mergeCell ref="D30:D31"/>
    <mergeCell ref="E16:E17"/>
    <mergeCell ref="F16:F17"/>
    <mergeCell ref="G16:G17"/>
    <mergeCell ref="H1:O2"/>
    <mergeCell ref="P1:U2"/>
    <mergeCell ref="A40:A41"/>
    <mergeCell ref="B40:B41"/>
    <mergeCell ref="A18:A19"/>
    <mergeCell ref="B18:B19"/>
    <mergeCell ref="A20:A21"/>
    <mergeCell ref="B20:B21"/>
    <mergeCell ref="A22:A23"/>
    <mergeCell ref="B22:B23"/>
    <mergeCell ref="A12:A13"/>
    <mergeCell ref="B12:B13"/>
    <mergeCell ref="A14:A15"/>
    <mergeCell ref="B14:B15"/>
    <mergeCell ref="A16:A17"/>
    <mergeCell ref="B16:B17"/>
    <mergeCell ref="A6:A7"/>
    <mergeCell ref="B6:B7"/>
    <mergeCell ref="A8:A9"/>
    <mergeCell ref="C18:C19"/>
    <mergeCell ref="D18:D19"/>
    <mergeCell ref="E18:E19"/>
    <mergeCell ref="F18:F19"/>
    <mergeCell ref="G18:G19"/>
    <mergeCell ref="C20:C21"/>
    <mergeCell ref="D20:D21"/>
    <mergeCell ref="E20:E21"/>
    <mergeCell ref="F20:F21"/>
    <mergeCell ref="G20:G21"/>
    <mergeCell ref="C22:C23"/>
    <mergeCell ref="D22:D23"/>
    <mergeCell ref="E22:E23"/>
    <mergeCell ref="F22:F23"/>
    <mergeCell ref="G22:G23"/>
    <mergeCell ref="E24:E25"/>
    <mergeCell ref="F24:F25"/>
    <mergeCell ref="G24:G25"/>
    <mergeCell ref="C26:C27"/>
    <mergeCell ref="D26:D27"/>
    <mergeCell ref="E26:E27"/>
    <mergeCell ref="F26:F27"/>
    <mergeCell ref="G26:G27"/>
    <mergeCell ref="C28:C29"/>
    <mergeCell ref="D28:D29"/>
    <mergeCell ref="E28:E29"/>
    <mergeCell ref="F28:F29"/>
    <mergeCell ref="G28:G29"/>
    <mergeCell ref="E30:E31"/>
    <mergeCell ref="F30:F31"/>
    <mergeCell ref="G30:G31"/>
    <mergeCell ref="A32:A33"/>
    <mergeCell ref="B32:B33"/>
    <mergeCell ref="C32:C33"/>
    <mergeCell ref="D32:D33"/>
    <mergeCell ref="E32:E33"/>
    <mergeCell ref="A36:A37"/>
    <mergeCell ref="B36:B37"/>
    <mergeCell ref="C36:C37"/>
    <mergeCell ref="D36:D37"/>
    <mergeCell ref="E36:E37"/>
    <mergeCell ref="F36:F37"/>
    <mergeCell ref="G36:G37"/>
    <mergeCell ref="F32:F33"/>
    <mergeCell ref="G32:G33"/>
    <mergeCell ref="A34:A35"/>
    <mergeCell ref="B34:B35"/>
    <mergeCell ref="C34:C35"/>
    <mergeCell ref="D34:D35"/>
    <mergeCell ref="E34:E35"/>
    <mergeCell ref="F34:F35"/>
    <mergeCell ref="G34:G35"/>
    <mergeCell ref="G44:G45"/>
    <mergeCell ref="A46:U46"/>
    <mergeCell ref="C1:G2"/>
    <mergeCell ref="A44:A45"/>
    <mergeCell ref="B44:B45"/>
    <mergeCell ref="C44:C45"/>
    <mergeCell ref="D44:D45"/>
    <mergeCell ref="E44:E45"/>
    <mergeCell ref="F44:F45"/>
    <mergeCell ref="C42:C43"/>
    <mergeCell ref="D42:D43"/>
    <mergeCell ref="E42:E43"/>
    <mergeCell ref="F42:F43"/>
    <mergeCell ref="G42:G43"/>
    <mergeCell ref="C40:C41"/>
    <mergeCell ref="D40:D41"/>
    <mergeCell ref="E40:E41"/>
    <mergeCell ref="F40:F41"/>
    <mergeCell ref="G40:G41"/>
    <mergeCell ref="C38:C39"/>
    <mergeCell ref="D38:D39"/>
    <mergeCell ref="E38:E39"/>
    <mergeCell ref="F38:F39"/>
    <mergeCell ref="G38:G3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E75D-717A-43E6-B739-65D712EE844F}">
  <dimension ref="A1:R47"/>
  <sheetViews>
    <sheetView topLeftCell="A28" workbookViewId="0">
      <pane xSplit="2" topLeftCell="C1" activePane="topRight" state="frozen"/>
      <selection pane="topRight" activeCell="O45" sqref="O45"/>
    </sheetView>
  </sheetViews>
  <sheetFormatPr defaultRowHeight="16.2" x14ac:dyDescent="0.3"/>
  <sheetData>
    <row r="1" spans="1:18" ht="16.8" thickTop="1" x14ac:dyDescent="0.3">
      <c r="A1" s="102" t="s">
        <v>6</v>
      </c>
      <c r="B1" s="103"/>
      <c r="C1" s="92" t="s">
        <v>15</v>
      </c>
      <c r="D1" s="78"/>
      <c r="E1" s="78"/>
      <c r="F1" s="78"/>
      <c r="G1" s="78"/>
      <c r="H1" s="78"/>
      <c r="I1" s="78"/>
      <c r="J1" s="93"/>
      <c r="K1" s="92" t="s">
        <v>9</v>
      </c>
      <c r="L1" s="78"/>
      <c r="M1" s="78"/>
      <c r="N1" s="78"/>
      <c r="O1" s="78"/>
      <c r="P1" s="78"/>
      <c r="Q1" s="78"/>
      <c r="R1" s="79"/>
    </row>
    <row r="2" spans="1:18" ht="16.8" thickBot="1" x14ac:dyDescent="0.35">
      <c r="A2" s="85" t="s">
        <v>1</v>
      </c>
      <c r="B2" s="104"/>
      <c r="C2" s="94"/>
      <c r="D2" s="81"/>
      <c r="E2" s="81"/>
      <c r="F2" s="81"/>
      <c r="G2" s="81"/>
      <c r="H2" s="81"/>
      <c r="I2" s="81"/>
      <c r="J2" s="95"/>
      <c r="K2" s="94"/>
      <c r="L2" s="81"/>
      <c r="M2" s="81"/>
      <c r="N2" s="81"/>
      <c r="O2" s="81"/>
      <c r="P2" s="81"/>
      <c r="Q2" s="81"/>
      <c r="R2" s="82"/>
    </row>
    <row r="3" spans="1:18" ht="16.8" thickBot="1" x14ac:dyDescent="0.35">
      <c r="A3" s="21" t="s">
        <v>3</v>
      </c>
      <c r="B3" s="22" t="s">
        <v>4</v>
      </c>
      <c r="C3" s="20">
        <v>3</v>
      </c>
      <c r="D3" s="20">
        <v>4</v>
      </c>
      <c r="E3" s="20">
        <v>5</v>
      </c>
      <c r="F3" s="20">
        <v>6</v>
      </c>
      <c r="G3" s="20">
        <v>7</v>
      </c>
      <c r="H3" s="20">
        <v>8</v>
      </c>
      <c r="I3" s="20">
        <v>9</v>
      </c>
      <c r="J3" s="24">
        <v>10</v>
      </c>
      <c r="K3" s="20">
        <v>3</v>
      </c>
      <c r="L3" s="20">
        <v>4</v>
      </c>
      <c r="M3" s="20">
        <v>5</v>
      </c>
      <c r="N3" s="20">
        <v>6</v>
      </c>
      <c r="O3" s="20">
        <v>7</v>
      </c>
      <c r="P3" s="20">
        <v>8</v>
      </c>
      <c r="Q3" s="20">
        <v>9</v>
      </c>
      <c r="R3" s="28">
        <v>10</v>
      </c>
    </row>
    <row r="4" spans="1:18" x14ac:dyDescent="0.3">
      <c r="A4" s="105" t="s">
        <v>5</v>
      </c>
      <c r="B4" s="100">
        <v>3</v>
      </c>
      <c r="C4" s="8">
        <v>12</v>
      </c>
      <c r="D4" s="8">
        <v>13</v>
      </c>
      <c r="E4" s="8">
        <v>14</v>
      </c>
      <c r="F4" s="8">
        <v>16</v>
      </c>
      <c r="G4" s="8">
        <v>20</v>
      </c>
      <c r="H4" s="8">
        <v>24</v>
      </c>
      <c r="I4" s="8">
        <v>35</v>
      </c>
      <c r="J4" s="8">
        <v>50</v>
      </c>
      <c r="K4" s="8">
        <v>8</v>
      </c>
      <c r="L4" s="8">
        <v>9</v>
      </c>
      <c r="M4" s="8">
        <v>10</v>
      </c>
      <c r="N4" s="8">
        <v>12</v>
      </c>
      <c r="O4" s="8">
        <v>16</v>
      </c>
      <c r="P4" s="8">
        <v>20</v>
      </c>
      <c r="Q4" s="8">
        <v>31</v>
      </c>
      <c r="R4" s="9">
        <v>46</v>
      </c>
    </row>
    <row r="5" spans="1:18" ht="16.8" thickBot="1" x14ac:dyDescent="0.35">
      <c r="A5" s="106"/>
      <c r="B5" s="101"/>
      <c r="C5" s="10">
        <v>10</v>
      </c>
      <c r="D5" s="10">
        <v>10</v>
      </c>
      <c r="E5" s="10">
        <v>10</v>
      </c>
      <c r="F5" s="10">
        <v>10</v>
      </c>
      <c r="G5" s="10">
        <v>10</v>
      </c>
      <c r="H5" s="10">
        <v>10</v>
      </c>
      <c r="I5" s="10">
        <v>10</v>
      </c>
      <c r="J5" s="10">
        <v>10</v>
      </c>
      <c r="K5" s="10">
        <v>6</v>
      </c>
      <c r="L5" s="10">
        <v>6</v>
      </c>
      <c r="M5" s="10">
        <v>6</v>
      </c>
      <c r="N5" s="10">
        <v>6</v>
      </c>
      <c r="O5" s="10">
        <v>6</v>
      </c>
      <c r="P5" s="10">
        <v>6</v>
      </c>
      <c r="Q5" s="10">
        <v>6</v>
      </c>
      <c r="R5" s="11">
        <v>6</v>
      </c>
    </row>
    <row r="6" spans="1:18" x14ac:dyDescent="0.3">
      <c r="A6" s="61">
        <v>3</v>
      </c>
      <c r="B6" s="100">
        <v>6</v>
      </c>
      <c r="C6" s="8">
        <v>16.5</v>
      </c>
      <c r="D6" s="8">
        <v>18</v>
      </c>
      <c r="E6" s="8">
        <v>19</v>
      </c>
      <c r="F6" s="8">
        <v>22</v>
      </c>
      <c r="G6" s="8">
        <v>26</v>
      </c>
      <c r="H6" s="8">
        <v>32</v>
      </c>
      <c r="I6" s="8">
        <v>44</v>
      </c>
      <c r="J6" s="8">
        <v>62</v>
      </c>
      <c r="K6" s="8">
        <v>12.5</v>
      </c>
      <c r="L6" s="8">
        <v>14</v>
      </c>
      <c r="M6" s="8">
        <v>15</v>
      </c>
      <c r="N6" s="8">
        <v>18</v>
      </c>
      <c r="O6" s="8">
        <v>22</v>
      </c>
      <c r="P6" s="8">
        <v>28</v>
      </c>
      <c r="Q6" s="8">
        <v>40</v>
      </c>
      <c r="R6" s="9">
        <v>58</v>
      </c>
    </row>
    <row r="7" spans="1:18" ht="16.8" thickBot="1" x14ac:dyDescent="0.35">
      <c r="A7" s="62"/>
      <c r="B7" s="101"/>
      <c r="C7" s="10">
        <v>14</v>
      </c>
      <c r="D7" s="10">
        <v>14</v>
      </c>
      <c r="E7" s="10">
        <v>14</v>
      </c>
      <c r="F7" s="10">
        <v>14</v>
      </c>
      <c r="G7" s="10">
        <v>14</v>
      </c>
      <c r="H7" s="10">
        <v>14</v>
      </c>
      <c r="I7" s="10">
        <v>14</v>
      </c>
      <c r="J7" s="10">
        <v>14</v>
      </c>
      <c r="K7" s="10">
        <v>10</v>
      </c>
      <c r="L7" s="10">
        <v>10</v>
      </c>
      <c r="M7" s="10">
        <v>10</v>
      </c>
      <c r="N7" s="10">
        <v>10</v>
      </c>
      <c r="O7" s="10">
        <v>10</v>
      </c>
      <c r="P7" s="10">
        <v>10</v>
      </c>
      <c r="Q7" s="10">
        <v>10</v>
      </c>
      <c r="R7" s="11">
        <v>10</v>
      </c>
    </row>
    <row r="8" spans="1:18" x14ac:dyDescent="0.3">
      <c r="A8" s="61">
        <v>6</v>
      </c>
      <c r="B8" s="100">
        <v>10</v>
      </c>
      <c r="C8" s="8">
        <v>20.5</v>
      </c>
      <c r="D8" s="8">
        <v>22</v>
      </c>
      <c r="E8" s="8">
        <v>24</v>
      </c>
      <c r="F8" s="8">
        <v>27</v>
      </c>
      <c r="G8" s="8">
        <v>33</v>
      </c>
      <c r="H8" s="8">
        <v>40</v>
      </c>
      <c r="I8" s="8">
        <v>54</v>
      </c>
      <c r="J8" s="8">
        <v>76</v>
      </c>
      <c r="K8" s="8">
        <v>15.5</v>
      </c>
      <c r="L8" s="8">
        <v>17</v>
      </c>
      <c r="M8" s="8">
        <v>19</v>
      </c>
      <c r="N8" s="8">
        <v>22</v>
      </c>
      <c r="O8" s="8">
        <v>28</v>
      </c>
      <c r="P8" s="8">
        <v>35</v>
      </c>
      <c r="Q8" s="8">
        <v>49</v>
      </c>
      <c r="R8" s="9">
        <v>71</v>
      </c>
    </row>
    <row r="9" spans="1:18" ht="16.8" thickBot="1" x14ac:dyDescent="0.35">
      <c r="A9" s="62"/>
      <c r="B9" s="101"/>
      <c r="C9" s="10">
        <v>18</v>
      </c>
      <c r="D9" s="10">
        <v>18</v>
      </c>
      <c r="E9" s="10">
        <v>18</v>
      </c>
      <c r="F9" s="10">
        <v>18</v>
      </c>
      <c r="G9" s="10">
        <v>18</v>
      </c>
      <c r="H9" s="10">
        <v>18</v>
      </c>
      <c r="I9" s="10">
        <v>18</v>
      </c>
      <c r="J9" s="10">
        <v>18</v>
      </c>
      <c r="K9" s="10">
        <v>13</v>
      </c>
      <c r="L9" s="10">
        <v>13</v>
      </c>
      <c r="M9" s="10">
        <v>13</v>
      </c>
      <c r="N9" s="10">
        <v>13</v>
      </c>
      <c r="O9" s="10">
        <v>13</v>
      </c>
      <c r="P9" s="10">
        <v>13</v>
      </c>
      <c r="Q9" s="10">
        <v>13</v>
      </c>
      <c r="R9" s="11">
        <v>13</v>
      </c>
    </row>
    <row r="10" spans="1:18" x14ac:dyDescent="0.3">
      <c r="A10" s="61">
        <v>10</v>
      </c>
      <c r="B10" s="100">
        <v>18</v>
      </c>
      <c r="C10" s="26">
        <v>26</v>
      </c>
      <c r="D10" s="26">
        <v>28</v>
      </c>
      <c r="E10" s="26">
        <v>31</v>
      </c>
      <c r="F10" s="26">
        <v>34</v>
      </c>
      <c r="G10" s="26">
        <v>41</v>
      </c>
      <c r="H10" s="26">
        <v>50</v>
      </c>
      <c r="I10" s="26">
        <v>66</v>
      </c>
      <c r="J10" s="26">
        <v>93</v>
      </c>
      <c r="K10" s="8">
        <v>19</v>
      </c>
      <c r="L10" s="8">
        <v>21</v>
      </c>
      <c r="M10" s="8">
        <v>24</v>
      </c>
      <c r="N10" s="8">
        <v>27</v>
      </c>
      <c r="O10" s="8">
        <v>34</v>
      </c>
      <c r="P10" s="8">
        <v>43</v>
      </c>
      <c r="Q10" s="8">
        <v>59</v>
      </c>
      <c r="R10" s="9">
        <v>86</v>
      </c>
    </row>
    <row r="11" spans="1:18" ht="16.8" thickBot="1" x14ac:dyDescent="0.35">
      <c r="A11" s="62"/>
      <c r="B11" s="101"/>
      <c r="C11" s="27">
        <v>23</v>
      </c>
      <c r="D11" s="27">
        <v>23</v>
      </c>
      <c r="E11" s="27">
        <v>23</v>
      </c>
      <c r="F11" s="27">
        <v>23</v>
      </c>
      <c r="G11" s="27">
        <v>23</v>
      </c>
      <c r="H11" s="27">
        <v>23</v>
      </c>
      <c r="I11" s="27">
        <v>23</v>
      </c>
      <c r="J11" s="27">
        <v>23</v>
      </c>
      <c r="K11" s="10">
        <v>16</v>
      </c>
      <c r="L11" s="10">
        <v>16</v>
      </c>
      <c r="M11" s="10">
        <v>16</v>
      </c>
      <c r="N11" s="10">
        <v>16</v>
      </c>
      <c r="O11" s="10">
        <v>16</v>
      </c>
      <c r="P11" s="10">
        <v>16</v>
      </c>
      <c r="Q11" s="10">
        <v>16</v>
      </c>
      <c r="R11" s="11">
        <v>16</v>
      </c>
    </row>
    <row r="12" spans="1:18" x14ac:dyDescent="0.3">
      <c r="A12" s="61">
        <v>18</v>
      </c>
      <c r="B12" s="100">
        <v>30</v>
      </c>
      <c r="C12" s="26">
        <v>32</v>
      </c>
      <c r="D12" s="26">
        <v>34</v>
      </c>
      <c r="E12" s="26">
        <v>37</v>
      </c>
      <c r="F12" s="26">
        <v>41</v>
      </c>
      <c r="G12" s="26">
        <v>49</v>
      </c>
      <c r="H12" s="26">
        <v>61</v>
      </c>
      <c r="I12" s="26">
        <v>80</v>
      </c>
      <c r="J12" s="26">
        <v>112</v>
      </c>
      <c r="K12" s="8">
        <v>24</v>
      </c>
      <c r="L12" s="8">
        <v>26</v>
      </c>
      <c r="M12" s="8">
        <v>29</v>
      </c>
      <c r="N12" s="8">
        <v>33</v>
      </c>
      <c r="O12" s="8">
        <v>41</v>
      </c>
      <c r="P12" s="8">
        <v>53</v>
      </c>
      <c r="Q12" s="8">
        <v>72</v>
      </c>
      <c r="R12" s="9">
        <v>104</v>
      </c>
    </row>
    <row r="13" spans="1:18" ht="16.8" thickBot="1" x14ac:dyDescent="0.35">
      <c r="A13" s="62"/>
      <c r="B13" s="101"/>
      <c r="C13" s="27">
        <v>28</v>
      </c>
      <c r="D13" s="27">
        <v>28</v>
      </c>
      <c r="E13" s="27">
        <v>28</v>
      </c>
      <c r="F13" s="27">
        <v>28</v>
      </c>
      <c r="G13" s="27">
        <v>28</v>
      </c>
      <c r="H13" s="27">
        <v>28</v>
      </c>
      <c r="I13" s="27">
        <v>28</v>
      </c>
      <c r="J13" s="27">
        <v>28</v>
      </c>
      <c r="K13" s="10">
        <v>20</v>
      </c>
      <c r="L13" s="10">
        <v>20</v>
      </c>
      <c r="M13" s="10">
        <v>20</v>
      </c>
      <c r="N13" s="10">
        <v>20</v>
      </c>
      <c r="O13" s="10">
        <v>20</v>
      </c>
      <c r="P13" s="10">
        <v>20</v>
      </c>
      <c r="Q13" s="10">
        <v>20</v>
      </c>
      <c r="R13" s="11">
        <v>20</v>
      </c>
    </row>
    <row r="14" spans="1:18" x14ac:dyDescent="0.3">
      <c r="A14" s="61">
        <v>30</v>
      </c>
      <c r="B14" s="100">
        <v>50</v>
      </c>
      <c r="C14" s="26">
        <v>39</v>
      </c>
      <c r="D14" s="26">
        <v>42</v>
      </c>
      <c r="E14" s="26">
        <v>46</v>
      </c>
      <c r="F14" s="26">
        <v>51</v>
      </c>
      <c r="G14" s="26">
        <v>60</v>
      </c>
      <c r="H14" s="26">
        <v>74</v>
      </c>
      <c r="I14" s="26">
        <v>97</v>
      </c>
      <c r="J14" s="26">
        <v>135</v>
      </c>
      <c r="K14" s="8">
        <v>29</v>
      </c>
      <c r="L14" s="8">
        <v>32</v>
      </c>
      <c r="M14" s="8">
        <v>36</v>
      </c>
      <c r="N14" s="8">
        <v>41</v>
      </c>
      <c r="O14" s="8">
        <v>50</v>
      </c>
      <c r="P14" s="8">
        <v>64</v>
      </c>
      <c r="Q14" s="8">
        <v>87</v>
      </c>
      <c r="R14" s="9">
        <v>125</v>
      </c>
    </row>
    <row r="15" spans="1:18" ht="16.8" thickBot="1" x14ac:dyDescent="0.35">
      <c r="A15" s="62"/>
      <c r="B15" s="101"/>
      <c r="C15" s="27">
        <v>35</v>
      </c>
      <c r="D15" s="27">
        <v>35</v>
      </c>
      <c r="E15" s="27">
        <v>35</v>
      </c>
      <c r="F15" s="27">
        <v>35</v>
      </c>
      <c r="G15" s="27">
        <v>35</v>
      </c>
      <c r="H15" s="27">
        <v>35</v>
      </c>
      <c r="I15" s="27">
        <v>35</v>
      </c>
      <c r="J15" s="27">
        <v>35</v>
      </c>
      <c r="K15" s="10">
        <v>25</v>
      </c>
      <c r="L15" s="10">
        <v>25</v>
      </c>
      <c r="M15" s="10">
        <v>25</v>
      </c>
      <c r="N15" s="10">
        <v>25</v>
      </c>
      <c r="O15" s="10">
        <v>25</v>
      </c>
      <c r="P15" s="10">
        <v>25</v>
      </c>
      <c r="Q15" s="10">
        <v>25</v>
      </c>
      <c r="R15" s="11">
        <v>25</v>
      </c>
    </row>
    <row r="16" spans="1:18" x14ac:dyDescent="0.3">
      <c r="A16" s="61">
        <v>50</v>
      </c>
      <c r="B16" s="100">
        <v>80</v>
      </c>
      <c r="C16" s="87"/>
      <c r="D16" s="87"/>
      <c r="E16" s="87"/>
      <c r="F16" s="87"/>
      <c r="G16" s="87"/>
      <c r="H16" s="87"/>
      <c r="I16" s="87"/>
      <c r="J16" s="87"/>
      <c r="K16" s="26">
        <v>35</v>
      </c>
      <c r="L16" s="26">
        <v>38</v>
      </c>
      <c r="M16" s="8">
        <v>43</v>
      </c>
      <c r="N16" s="8">
        <v>49</v>
      </c>
      <c r="O16" s="8">
        <v>60</v>
      </c>
      <c r="P16" s="8">
        <v>76</v>
      </c>
      <c r="Q16" s="8">
        <v>104</v>
      </c>
      <c r="R16" s="29">
        <v>150</v>
      </c>
    </row>
    <row r="17" spans="1:18" ht="16.8" thickBot="1" x14ac:dyDescent="0.35">
      <c r="A17" s="62"/>
      <c r="B17" s="101"/>
      <c r="C17" s="88"/>
      <c r="D17" s="88"/>
      <c r="E17" s="88"/>
      <c r="F17" s="88"/>
      <c r="G17" s="88"/>
      <c r="H17" s="88"/>
      <c r="I17" s="88"/>
      <c r="J17" s="88"/>
      <c r="K17" s="10">
        <v>30</v>
      </c>
      <c r="L17" s="10">
        <v>30</v>
      </c>
      <c r="M17" s="10">
        <v>30</v>
      </c>
      <c r="N17" s="10">
        <v>30</v>
      </c>
      <c r="O17" s="10">
        <v>30</v>
      </c>
      <c r="P17" s="10">
        <v>30</v>
      </c>
      <c r="Q17" s="10">
        <v>30</v>
      </c>
      <c r="R17" s="10">
        <v>30</v>
      </c>
    </row>
    <row r="18" spans="1:18" x14ac:dyDescent="0.3">
      <c r="A18" s="61">
        <v>80</v>
      </c>
      <c r="B18" s="100">
        <v>120</v>
      </c>
      <c r="C18" s="87"/>
      <c r="D18" s="87"/>
      <c r="E18" s="87"/>
      <c r="F18" s="87"/>
      <c r="G18" s="87"/>
      <c r="H18" s="87"/>
      <c r="I18" s="87"/>
      <c r="J18" s="87"/>
      <c r="K18" s="26">
        <v>42</v>
      </c>
      <c r="L18" s="26">
        <v>46</v>
      </c>
      <c r="M18" s="8">
        <v>51</v>
      </c>
      <c r="N18" s="8">
        <v>58</v>
      </c>
      <c r="O18" s="8">
        <v>71</v>
      </c>
      <c r="P18" s="8">
        <v>90</v>
      </c>
      <c r="Q18" s="8">
        <v>123</v>
      </c>
      <c r="R18" s="29">
        <v>176</v>
      </c>
    </row>
    <row r="19" spans="1:18" ht="16.8" thickBot="1" x14ac:dyDescent="0.35">
      <c r="A19" s="62"/>
      <c r="B19" s="101"/>
      <c r="C19" s="88"/>
      <c r="D19" s="88"/>
      <c r="E19" s="88"/>
      <c r="F19" s="88"/>
      <c r="G19" s="88"/>
      <c r="H19" s="88"/>
      <c r="I19" s="88"/>
      <c r="J19" s="88"/>
      <c r="K19" s="10">
        <v>36</v>
      </c>
      <c r="L19" s="10">
        <v>36</v>
      </c>
      <c r="M19" s="10">
        <v>36</v>
      </c>
      <c r="N19" s="10">
        <v>36</v>
      </c>
      <c r="O19" s="10">
        <v>36</v>
      </c>
      <c r="P19" s="10">
        <v>36</v>
      </c>
      <c r="Q19" s="10">
        <v>36</v>
      </c>
      <c r="R19" s="10">
        <v>36</v>
      </c>
    </row>
    <row r="20" spans="1:18" x14ac:dyDescent="0.3">
      <c r="A20" s="61">
        <v>120</v>
      </c>
      <c r="B20" s="100">
        <v>180</v>
      </c>
      <c r="C20" s="87"/>
      <c r="D20" s="87"/>
      <c r="E20" s="87"/>
      <c r="F20" s="87"/>
      <c r="G20" s="87"/>
      <c r="H20" s="87"/>
      <c r="I20" s="87"/>
      <c r="J20" s="87"/>
      <c r="K20" s="26">
        <v>51</v>
      </c>
      <c r="L20" s="26">
        <v>55</v>
      </c>
      <c r="M20" s="8">
        <v>61</v>
      </c>
      <c r="N20" s="8">
        <v>68</v>
      </c>
      <c r="O20" s="8">
        <v>83</v>
      </c>
      <c r="P20" s="8">
        <v>106</v>
      </c>
      <c r="Q20" s="8">
        <v>143</v>
      </c>
      <c r="R20" s="29">
        <v>203</v>
      </c>
    </row>
    <row r="21" spans="1:18" ht="16.8" thickBot="1" x14ac:dyDescent="0.35">
      <c r="A21" s="62"/>
      <c r="B21" s="101"/>
      <c r="C21" s="88"/>
      <c r="D21" s="88"/>
      <c r="E21" s="88"/>
      <c r="F21" s="88"/>
      <c r="G21" s="88"/>
      <c r="H21" s="88"/>
      <c r="I21" s="88"/>
      <c r="J21" s="88"/>
      <c r="K21" s="10">
        <v>43</v>
      </c>
      <c r="L21" s="10">
        <v>43</v>
      </c>
      <c r="M21" s="10">
        <v>43</v>
      </c>
      <c r="N21" s="10">
        <v>43</v>
      </c>
      <c r="O21" s="10">
        <v>43</v>
      </c>
      <c r="P21" s="10">
        <v>43</v>
      </c>
      <c r="Q21" s="10">
        <v>43</v>
      </c>
      <c r="R21" s="10">
        <v>43</v>
      </c>
    </row>
    <row r="22" spans="1:18" x14ac:dyDescent="0.3">
      <c r="A22" s="61">
        <v>180</v>
      </c>
      <c r="B22" s="100">
        <v>250</v>
      </c>
      <c r="C22" s="87"/>
      <c r="D22" s="87"/>
      <c r="E22" s="87"/>
      <c r="F22" s="87"/>
      <c r="G22" s="87"/>
      <c r="H22" s="87"/>
      <c r="I22" s="87"/>
      <c r="J22" s="87"/>
      <c r="K22" s="26">
        <v>60</v>
      </c>
      <c r="L22" s="26">
        <v>64</v>
      </c>
      <c r="M22" s="8">
        <v>70</v>
      </c>
      <c r="N22" s="8">
        <v>79</v>
      </c>
      <c r="O22" s="8">
        <v>96</v>
      </c>
      <c r="P22" s="8">
        <v>122</v>
      </c>
      <c r="Q22" s="8">
        <v>165</v>
      </c>
      <c r="R22" s="29">
        <v>235</v>
      </c>
    </row>
    <row r="23" spans="1:18" ht="16.8" thickBot="1" x14ac:dyDescent="0.35">
      <c r="A23" s="62"/>
      <c r="B23" s="101"/>
      <c r="C23" s="88"/>
      <c r="D23" s="88"/>
      <c r="E23" s="88"/>
      <c r="F23" s="88"/>
      <c r="G23" s="88"/>
      <c r="H23" s="88"/>
      <c r="I23" s="88"/>
      <c r="J23" s="88"/>
      <c r="K23" s="10">
        <v>50</v>
      </c>
      <c r="L23" s="10">
        <v>50</v>
      </c>
      <c r="M23" s="10">
        <v>50</v>
      </c>
      <c r="N23" s="10">
        <v>50</v>
      </c>
      <c r="O23" s="10">
        <v>50</v>
      </c>
      <c r="P23" s="10">
        <v>50</v>
      </c>
      <c r="Q23" s="10">
        <v>50</v>
      </c>
      <c r="R23" s="10">
        <v>50</v>
      </c>
    </row>
    <row r="24" spans="1:18" x14ac:dyDescent="0.3">
      <c r="A24" s="61">
        <v>250</v>
      </c>
      <c r="B24" s="100">
        <v>315</v>
      </c>
      <c r="C24" s="87"/>
      <c r="D24" s="87"/>
      <c r="E24" s="87"/>
      <c r="F24" s="87"/>
      <c r="G24" s="87"/>
      <c r="H24" s="87"/>
      <c r="I24" s="87"/>
      <c r="J24" s="87"/>
      <c r="K24" s="26">
        <v>68</v>
      </c>
      <c r="L24" s="26">
        <v>72</v>
      </c>
      <c r="M24" s="8">
        <v>79</v>
      </c>
      <c r="N24" s="8">
        <v>88</v>
      </c>
      <c r="O24" s="8">
        <v>108</v>
      </c>
      <c r="P24" s="8">
        <v>137</v>
      </c>
      <c r="Q24" s="8">
        <v>186</v>
      </c>
      <c r="R24" s="29">
        <v>266</v>
      </c>
    </row>
    <row r="25" spans="1:18" ht="16.8" thickBot="1" x14ac:dyDescent="0.35">
      <c r="A25" s="62"/>
      <c r="B25" s="101"/>
      <c r="C25" s="88"/>
      <c r="D25" s="88"/>
      <c r="E25" s="88"/>
      <c r="F25" s="88"/>
      <c r="G25" s="88"/>
      <c r="H25" s="88"/>
      <c r="I25" s="88"/>
      <c r="J25" s="88"/>
      <c r="K25" s="10">
        <v>56</v>
      </c>
      <c r="L25" s="10">
        <v>56</v>
      </c>
      <c r="M25" s="10">
        <v>56</v>
      </c>
      <c r="N25" s="10">
        <v>56</v>
      </c>
      <c r="O25" s="10">
        <v>56</v>
      </c>
      <c r="P25" s="10">
        <v>56</v>
      </c>
      <c r="Q25" s="10">
        <v>56</v>
      </c>
      <c r="R25" s="10">
        <v>56</v>
      </c>
    </row>
    <row r="26" spans="1:18" x14ac:dyDescent="0.3">
      <c r="A26" s="61">
        <v>315</v>
      </c>
      <c r="B26" s="100">
        <v>400</v>
      </c>
      <c r="C26" s="87"/>
      <c r="D26" s="87"/>
      <c r="E26" s="87"/>
      <c r="F26" s="87"/>
      <c r="G26" s="87"/>
      <c r="H26" s="87"/>
      <c r="I26" s="87"/>
      <c r="J26" s="87"/>
      <c r="K26" s="26">
        <v>75</v>
      </c>
      <c r="L26" s="26">
        <v>80</v>
      </c>
      <c r="M26" s="8">
        <v>87</v>
      </c>
      <c r="N26" s="8">
        <v>98</v>
      </c>
      <c r="O26" s="8">
        <v>119</v>
      </c>
      <c r="P26" s="8">
        <v>151</v>
      </c>
      <c r="Q26" s="8">
        <v>202</v>
      </c>
      <c r="R26" s="29">
        <v>292</v>
      </c>
    </row>
    <row r="27" spans="1:18" ht="16.8" thickBot="1" x14ac:dyDescent="0.35">
      <c r="A27" s="62"/>
      <c r="B27" s="101"/>
      <c r="C27" s="88"/>
      <c r="D27" s="88"/>
      <c r="E27" s="88"/>
      <c r="F27" s="88"/>
      <c r="G27" s="88"/>
      <c r="H27" s="88"/>
      <c r="I27" s="88"/>
      <c r="J27" s="88"/>
      <c r="K27" s="10">
        <v>62</v>
      </c>
      <c r="L27" s="10">
        <v>62</v>
      </c>
      <c r="M27" s="10">
        <v>62</v>
      </c>
      <c r="N27" s="10">
        <v>62</v>
      </c>
      <c r="O27" s="10">
        <v>62</v>
      </c>
      <c r="P27" s="10">
        <v>62</v>
      </c>
      <c r="Q27" s="10">
        <v>62</v>
      </c>
      <c r="R27" s="10">
        <v>62</v>
      </c>
    </row>
    <row r="28" spans="1:18" x14ac:dyDescent="0.3">
      <c r="A28" s="61">
        <v>400</v>
      </c>
      <c r="B28" s="100">
        <v>500</v>
      </c>
      <c r="C28" s="87"/>
      <c r="D28" s="87"/>
      <c r="E28" s="87"/>
      <c r="F28" s="87"/>
      <c r="G28" s="87"/>
      <c r="H28" s="87"/>
      <c r="I28" s="87"/>
      <c r="J28" s="87"/>
      <c r="K28" s="26">
        <v>83</v>
      </c>
      <c r="L28" s="26">
        <v>88</v>
      </c>
      <c r="M28" s="8">
        <v>95</v>
      </c>
      <c r="N28" s="8">
        <v>108</v>
      </c>
      <c r="O28" s="8">
        <v>131</v>
      </c>
      <c r="P28" s="8">
        <v>165</v>
      </c>
      <c r="Q28" s="8">
        <v>223</v>
      </c>
      <c r="R28" s="29">
        <v>318</v>
      </c>
    </row>
    <row r="29" spans="1:18" ht="16.8" thickBot="1" x14ac:dyDescent="0.35">
      <c r="A29" s="62"/>
      <c r="B29" s="101"/>
      <c r="C29" s="88"/>
      <c r="D29" s="88"/>
      <c r="E29" s="88"/>
      <c r="F29" s="88"/>
      <c r="G29" s="88"/>
      <c r="H29" s="88"/>
      <c r="I29" s="88"/>
      <c r="J29" s="88"/>
      <c r="K29" s="10">
        <v>68</v>
      </c>
      <c r="L29" s="10">
        <v>68</v>
      </c>
      <c r="M29" s="10">
        <v>68</v>
      </c>
      <c r="N29" s="10">
        <v>68</v>
      </c>
      <c r="O29" s="10">
        <v>68</v>
      </c>
      <c r="P29" s="10">
        <v>68</v>
      </c>
      <c r="Q29" s="10">
        <v>68</v>
      </c>
      <c r="R29" s="10">
        <v>68</v>
      </c>
    </row>
    <row r="30" spans="1:18" x14ac:dyDescent="0.3">
      <c r="A30" s="61">
        <v>500</v>
      </c>
      <c r="B30" s="100">
        <v>630</v>
      </c>
      <c r="C30" s="87"/>
      <c r="D30" s="87"/>
      <c r="E30" s="87"/>
      <c r="F30" s="87"/>
      <c r="G30" s="87"/>
      <c r="H30" s="87"/>
      <c r="I30" s="87"/>
      <c r="J30" s="87"/>
      <c r="K30" s="26">
        <v>92</v>
      </c>
      <c r="L30" s="26">
        <v>98</v>
      </c>
      <c r="M30" s="26">
        <v>108</v>
      </c>
      <c r="N30" s="8">
        <v>120</v>
      </c>
      <c r="O30" s="8">
        <v>146</v>
      </c>
      <c r="P30" s="8">
        <v>186</v>
      </c>
      <c r="Q30" s="8">
        <v>251</v>
      </c>
      <c r="R30" s="29">
        <v>356</v>
      </c>
    </row>
    <row r="31" spans="1:18" ht="16.8" thickBot="1" x14ac:dyDescent="0.35">
      <c r="A31" s="62"/>
      <c r="B31" s="101"/>
      <c r="C31" s="88"/>
      <c r="D31" s="88"/>
      <c r="E31" s="88"/>
      <c r="F31" s="88"/>
      <c r="G31" s="88"/>
      <c r="H31" s="88"/>
      <c r="I31" s="88"/>
      <c r="J31" s="88"/>
      <c r="K31" s="10">
        <v>76</v>
      </c>
      <c r="L31" s="10">
        <v>76</v>
      </c>
      <c r="M31" s="10">
        <v>76</v>
      </c>
      <c r="N31" s="10">
        <v>76</v>
      </c>
      <c r="O31" s="10">
        <v>76</v>
      </c>
      <c r="P31" s="10">
        <v>76</v>
      </c>
      <c r="Q31" s="10">
        <v>76</v>
      </c>
      <c r="R31" s="10">
        <v>76</v>
      </c>
    </row>
    <row r="32" spans="1:18" x14ac:dyDescent="0.3">
      <c r="A32" s="61">
        <v>630</v>
      </c>
      <c r="B32" s="100">
        <v>800</v>
      </c>
      <c r="C32" s="87"/>
      <c r="D32" s="87"/>
      <c r="E32" s="87"/>
      <c r="F32" s="87"/>
      <c r="G32" s="87"/>
      <c r="H32" s="87"/>
      <c r="I32" s="87"/>
      <c r="J32" s="87"/>
      <c r="K32" s="26">
        <v>98</v>
      </c>
      <c r="L32" s="26">
        <v>105</v>
      </c>
      <c r="M32" s="26">
        <v>116</v>
      </c>
      <c r="N32" s="8">
        <v>130</v>
      </c>
      <c r="O32" s="8">
        <v>160</v>
      </c>
      <c r="P32" s="8">
        <v>205</v>
      </c>
      <c r="Q32" s="8">
        <v>280</v>
      </c>
      <c r="R32" s="29">
        <v>400</v>
      </c>
    </row>
    <row r="33" spans="1:18" ht="16.8" thickBot="1" x14ac:dyDescent="0.35">
      <c r="A33" s="62"/>
      <c r="B33" s="101"/>
      <c r="C33" s="88"/>
      <c r="D33" s="88"/>
      <c r="E33" s="88"/>
      <c r="F33" s="88"/>
      <c r="G33" s="88"/>
      <c r="H33" s="88"/>
      <c r="I33" s="88"/>
      <c r="J33" s="88"/>
      <c r="K33" s="10">
        <v>80</v>
      </c>
      <c r="L33" s="10">
        <v>80</v>
      </c>
      <c r="M33" s="10">
        <v>80</v>
      </c>
      <c r="N33" s="10">
        <v>80</v>
      </c>
      <c r="O33" s="10">
        <v>80</v>
      </c>
      <c r="P33" s="10">
        <v>80</v>
      </c>
      <c r="Q33" s="10">
        <v>80</v>
      </c>
      <c r="R33" s="10">
        <v>80</v>
      </c>
    </row>
    <row r="34" spans="1:18" x14ac:dyDescent="0.3">
      <c r="A34" s="61">
        <v>800</v>
      </c>
      <c r="B34" s="98">
        <v>1000</v>
      </c>
      <c r="C34" s="87"/>
      <c r="D34" s="87"/>
      <c r="E34" s="87"/>
      <c r="F34" s="87"/>
      <c r="G34" s="87"/>
      <c r="H34" s="87"/>
      <c r="I34" s="87"/>
      <c r="J34" s="87"/>
      <c r="K34" s="26">
        <v>107</v>
      </c>
      <c r="L34" s="26">
        <v>114</v>
      </c>
      <c r="M34" s="26">
        <v>126</v>
      </c>
      <c r="N34" s="8">
        <v>142</v>
      </c>
      <c r="O34" s="8">
        <v>176</v>
      </c>
      <c r="P34" s="8">
        <v>226</v>
      </c>
      <c r="Q34" s="8">
        <v>316</v>
      </c>
      <c r="R34" s="29">
        <v>446</v>
      </c>
    </row>
    <row r="35" spans="1:18" ht="16.8" thickBot="1" x14ac:dyDescent="0.35">
      <c r="A35" s="62"/>
      <c r="B35" s="99"/>
      <c r="C35" s="88"/>
      <c r="D35" s="88"/>
      <c r="E35" s="88"/>
      <c r="F35" s="88"/>
      <c r="G35" s="88"/>
      <c r="H35" s="88"/>
      <c r="I35" s="88"/>
      <c r="J35" s="88"/>
      <c r="K35" s="10">
        <v>86</v>
      </c>
      <c r="L35" s="10">
        <v>86</v>
      </c>
      <c r="M35" s="10">
        <v>86</v>
      </c>
      <c r="N35" s="10">
        <v>86</v>
      </c>
      <c r="O35" s="10">
        <v>86</v>
      </c>
      <c r="P35" s="10">
        <v>86</v>
      </c>
      <c r="Q35" s="10">
        <v>86</v>
      </c>
      <c r="R35" s="10">
        <v>86</v>
      </c>
    </row>
    <row r="36" spans="1:18" x14ac:dyDescent="0.3">
      <c r="A36" s="96">
        <v>1000</v>
      </c>
      <c r="B36" s="98">
        <v>1250</v>
      </c>
      <c r="C36" s="87"/>
      <c r="D36" s="87"/>
      <c r="E36" s="87"/>
      <c r="F36" s="87"/>
      <c r="G36" s="87"/>
      <c r="H36" s="87"/>
      <c r="I36" s="87"/>
      <c r="J36" s="87"/>
      <c r="K36" s="26">
        <v>122</v>
      </c>
      <c r="L36" s="26">
        <v>131</v>
      </c>
      <c r="M36" s="26">
        <v>145</v>
      </c>
      <c r="N36" s="8">
        <v>164</v>
      </c>
      <c r="O36" s="8">
        <v>203</v>
      </c>
      <c r="P36" s="8">
        <v>263</v>
      </c>
      <c r="Q36" s="8">
        <v>358</v>
      </c>
      <c r="R36" s="29">
        <v>518</v>
      </c>
    </row>
    <row r="37" spans="1:18" ht="16.8" thickBot="1" x14ac:dyDescent="0.35">
      <c r="A37" s="97"/>
      <c r="B37" s="99"/>
      <c r="C37" s="88"/>
      <c r="D37" s="88"/>
      <c r="E37" s="88"/>
      <c r="F37" s="88"/>
      <c r="G37" s="88"/>
      <c r="H37" s="88"/>
      <c r="I37" s="88"/>
      <c r="J37" s="88"/>
      <c r="K37" s="10">
        <v>98</v>
      </c>
      <c r="L37" s="10">
        <v>98</v>
      </c>
      <c r="M37" s="10">
        <v>98</v>
      </c>
      <c r="N37" s="10">
        <v>98</v>
      </c>
      <c r="O37" s="10">
        <v>98</v>
      </c>
      <c r="P37" s="10">
        <v>98</v>
      </c>
      <c r="Q37" s="10">
        <v>98</v>
      </c>
      <c r="R37" s="10">
        <v>98</v>
      </c>
    </row>
    <row r="38" spans="1:18" x14ac:dyDescent="0.3">
      <c r="A38" s="96">
        <v>1250</v>
      </c>
      <c r="B38" s="98">
        <v>1600</v>
      </c>
      <c r="C38" s="87"/>
      <c r="D38" s="87"/>
      <c r="E38" s="87"/>
      <c r="F38" s="87"/>
      <c r="G38" s="87"/>
      <c r="H38" s="87"/>
      <c r="I38" s="87"/>
      <c r="J38" s="87"/>
      <c r="K38" s="26">
        <v>139</v>
      </c>
      <c r="L38" s="26">
        <v>149</v>
      </c>
      <c r="M38" s="26">
        <v>165</v>
      </c>
      <c r="N38" s="8">
        <v>188</v>
      </c>
      <c r="O38" s="8">
        <v>235</v>
      </c>
      <c r="P38" s="8">
        <v>305</v>
      </c>
      <c r="Q38" s="8">
        <v>420</v>
      </c>
      <c r="R38" s="29">
        <v>610</v>
      </c>
    </row>
    <row r="39" spans="1:18" ht="16.8" thickBot="1" x14ac:dyDescent="0.35">
      <c r="A39" s="97"/>
      <c r="B39" s="99"/>
      <c r="C39" s="88"/>
      <c r="D39" s="88"/>
      <c r="E39" s="88"/>
      <c r="F39" s="88"/>
      <c r="G39" s="88"/>
      <c r="H39" s="88"/>
      <c r="I39" s="88"/>
      <c r="J39" s="88"/>
      <c r="K39" s="10">
        <v>110</v>
      </c>
      <c r="L39" s="10">
        <v>110</v>
      </c>
      <c r="M39" s="10">
        <v>110</v>
      </c>
      <c r="N39" s="10">
        <v>110</v>
      </c>
      <c r="O39" s="10">
        <v>110</v>
      </c>
      <c r="P39" s="10">
        <v>110</v>
      </c>
      <c r="Q39" s="10">
        <v>110</v>
      </c>
      <c r="R39" s="10">
        <v>110</v>
      </c>
    </row>
    <row r="40" spans="1:18" x14ac:dyDescent="0.3">
      <c r="A40" s="96">
        <v>1600</v>
      </c>
      <c r="B40" s="98">
        <v>2000</v>
      </c>
      <c r="C40" s="87"/>
      <c r="D40" s="87"/>
      <c r="E40" s="87"/>
      <c r="F40" s="87"/>
      <c r="G40" s="87"/>
      <c r="H40" s="87"/>
      <c r="I40" s="87"/>
      <c r="J40" s="87"/>
      <c r="K40" s="26">
        <v>155</v>
      </c>
      <c r="L40" s="26">
        <v>166</v>
      </c>
      <c r="M40" s="26">
        <v>185</v>
      </c>
      <c r="N40" s="8">
        <v>212</v>
      </c>
      <c r="O40" s="8">
        <v>270</v>
      </c>
      <c r="P40" s="8">
        <v>350</v>
      </c>
      <c r="Q40" s="8">
        <v>490</v>
      </c>
      <c r="R40" s="29">
        <v>720</v>
      </c>
    </row>
    <row r="41" spans="1:18" ht="16.8" thickBot="1" x14ac:dyDescent="0.35">
      <c r="A41" s="97"/>
      <c r="B41" s="99"/>
      <c r="C41" s="88"/>
      <c r="D41" s="88"/>
      <c r="E41" s="88"/>
      <c r="F41" s="88"/>
      <c r="G41" s="88"/>
      <c r="H41" s="88"/>
      <c r="I41" s="88"/>
      <c r="J41" s="88"/>
      <c r="K41" s="10">
        <v>120</v>
      </c>
      <c r="L41" s="10">
        <v>120</v>
      </c>
      <c r="M41" s="10">
        <v>120</v>
      </c>
      <c r="N41" s="10">
        <v>120</v>
      </c>
      <c r="O41" s="10">
        <v>120</v>
      </c>
      <c r="P41" s="10">
        <v>120</v>
      </c>
      <c r="Q41" s="10">
        <v>120</v>
      </c>
      <c r="R41" s="10">
        <v>120</v>
      </c>
    </row>
    <row r="42" spans="1:18" x14ac:dyDescent="0.3">
      <c r="A42" s="96">
        <v>2000</v>
      </c>
      <c r="B42" s="98">
        <v>2500</v>
      </c>
      <c r="C42" s="87"/>
      <c r="D42" s="87"/>
      <c r="E42" s="87"/>
      <c r="F42" s="87"/>
      <c r="G42" s="87"/>
      <c r="H42" s="87"/>
      <c r="I42" s="87"/>
      <c r="J42" s="87"/>
      <c r="K42" s="26">
        <v>171</v>
      </c>
      <c r="L42" s="26">
        <v>185</v>
      </c>
      <c r="M42" s="26">
        <v>208</v>
      </c>
      <c r="N42" s="8">
        <v>240</v>
      </c>
      <c r="O42" s="8">
        <v>305</v>
      </c>
      <c r="P42" s="8">
        <v>410</v>
      </c>
      <c r="Q42" s="8">
        <v>570</v>
      </c>
      <c r="R42" s="29">
        <v>830</v>
      </c>
    </row>
    <row r="43" spans="1:18" ht="16.8" thickBot="1" x14ac:dyDescent="0.35">
      <c r="A43" s="97"/>
      <c r="B43" s="99"/>
      <c r="C43" s="88"/>
      <c r="D43" s="88"/>
      <c r="E43" s="88"/>
      <c r="F43" s="88"/>
      <c r="G43" s="88"/>
      <c r="H43" s="88"/>
      <c r="I43" s="88"/>
      <c r="J43" s="88"/>
      <c r="K43" s="10">
        <v>130</v>
      </c>
      <c r="L43" s="10">
        <v>130</v>
      </c>
      <c r="M43" s="10">
        <v>130</v>
      </c>
      <c r="N43" s="10">
        <v>130</v>
      </c>
      <c r="O43" s="10">
        <v>130</v>
      </c>
      <c r="P43" s="10">
        <v>130</v>
      </c>
      <c r="Q43" s="10">
        <v>130</v>
      </c>
      <c r="R43" s="10">
        <v>130</v>
      </c>
    </row>
    <row r="44" spans="1:18" x14ac:dyDescent="0.3">
      <c r="A44" s="96">
        <v>2500</v>
      </c>
      <c r="B44" s="98">
        <v>3150</v>
      </c>
      <c r="C44" s="87"/>
      <c r="D44" s="87"/>
      <c r="E44" s="87"/>
      <c r="F44" s="87"/>
      <c r="G44" s="87"/>
      <c r="H44" s="87"/>
      <c r="I44" s="87"/>
      <c r="J44" s="87"/>
      <c r="K44" s="26">
        <v>195</v>
      </c>
      <c r="L44" s="26">
        <v>213</v>
      </c>
      <c r="M44" s="26">
        <v>241</v>
      </c>
      <c r="N44" s="8">
        <v>280</v>
      </c>
      <c r="O44" s="8">
        <v>355</v>
      </c>
      <c r="P44" s="8">
        <v>475</v>
      </c>
      <c r="Q44" s="8">
        <v>685</v>
      </c>
      <c r="R44" s="29">
        <v>1005</v>
      </c>
    </row>
    <row r="45" spans="1:18" ht="16.8" thickBot="1" x14ac:dyDescent="0.35">
      <c r="A45" s="97"/>
      <c r="B45" s="99"/>
      <c r="C45" s="88"/>
      <c r="D45" s="88"/>
      <c r="E45" s="88"/>
      <c r="F45" s="88"/>
      <c r="G45" s="88"/>
      <c r="H45" s="88"/>
      <c r="I45" s="88"/>
      <c r="J45" s="88"/>
      <c r="K45" s="10">
        <v>145</v>
      </c>
      <c r="L45" s="10">
        <v>145</v>
      </c>
      <c r="M45" s="10">
        <v>145</v>
      </c>
      <c r="N45" s="10">
        <v>145</v>
      </c>
      <c r="O45" s="10">
        <v>145</v>
      </c>
      <c r="P45" s="10">
        <v>145</v>
      </c>
      <c r="Q45" s="10">
        <v>145</v>
      </c>
      <c r="R45" s="10">
        <v>145</v>
      </c>
    </row>
    <row r="46" spans="1:18" ht="16.8" thickBot="1" x14ac:dyDescent="0.35">
      <c r="A46" s="89" t="s">
        <v>14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1"/>
    </row>
    <row r="47" spans="1:18" ht="16.8" thickTop="1" x14ac:dyDescent="0.3"/>
  </sheetData>
  <mergeCells count="167">
    <mergeCell ref="A1:B1"/>
    <mergeCell ref="A2:B2"/>
    <mergeCell ref="K1:R2"/>
    <mergeCell ref="A4:A5"/>
    <mergeCell ref="B4:B5"/>
    <mergeCell ref="A14:A15"/>
    <mergeCell ref="B14:B15"/>
    <mergeCell ref="A12:A13"/>
    <mergeCell ref="B12:B13"/>
    <mergeCell ref="A6:A7"/>
    <mergeCell ref="B6:B7"/>
    <mergeCell ref="A8:A9"/>
    <mergeCell ref="B8:B9"/>
    <mergeCell ref="A10:A11"/>
    <mergeCell ref="B10:B11"/>
    <mergeCell ref="F18:F19"/>
    <mergeCell ref="G18:G19"/>
    <mergeCell ref="H18:H19"/>
    <mergeCell ref="I18:I19"/>
    <mergeCell ref="J18:J19"/>
    <mergeCell ref="I16:I17"/>
    <mergeCell ref="J16:J17"/>
    <mergeCell ref="A18:A19"/>
    <mergeCell ref="B18:B19"/>
    <mergeCell ref="C18:C19"/>
    <mergeCell ref="D18:D19"/>
    <mergeCell ref="E18:E19"/>
    <mergeCell ref="A16:A17"/>
    <mergeCell ref="B16:B17"/>
    <mergeCell ref="C16:C17"/>
    <mergeCell ref="D16:D17"/>
    <mergeCell ref="E16:E17"/>
    <mergeCell ref="F16:F17"/>
    <mergeCell ref="G16:G17"/>
    <mergeCell ref="H16:H17"/>
    <mergeCell ref="F22:F23"/>
    <mergeCell ref="G22:G23"/>
    <mergeCell ref="H22:H23"/>
    <mergeCell ref="I22:I23"/>
    <mergeCell ref="J22:J23"/>
    <mergeCell ref="I20:I21"/>
    <mergeCell ref="J20:J21"/>
    <mergeCell ref="A22:A23"/>
    <mergeCell ref="B22:B23"/>
    <mergeCell ref="C22:C23"/>
    <mergeCell ref="D22:D23"/>
    <mergeCell ref="E22:E23"/>
    <mergeCell ref="A20:A21"/>
    <mergeCell ref="B20:B21"/>
    <mergeCell ref="C20:C21"/>
    <mergeCell ref="D20:D21"/>
    <mergeCell ref="E20:E21"/>
    <mergeCell ref="F20:F21"/>
    <mergeCell ref="G20:G21"/>
    <mergeCell ref="H20:H21"/>
    <mergeCell ref="F26:F27"/>
    <mergeCell ref="G26:G27"/>
    <mergeCell ref="H26:H27"/>
    <mergeCell ref="I26:I27"/>
    <mergeCell ref="J26:J27"/>
    <mergeCell ref="I24:I25"/>
    <mergeCell ref="J24:J25"/>
    <mergeCell ref="A26:A27"/>
    <mergeCell ref="B26:B27"/>
    <mergeCell ref="C26:C27"/>
    <mergeCell ref="D26:D27"/>
    <mergeCell ref="E26:E27"/>
    <mergeCell ref="A24:A25"/>
    <mergeCell ref="B24:B25"/>
    <mergeCell ref="C24:C25"/>
    <mergeCell ref="D24:D25"/>
    <mergeCell ref="E24:E25"/>
    <mergeCell ref="F24:F25"/>
    <mergeCell ref="G24:G25"/>
    <mergeCell ref="H24:H25"/>
    <mergeCell ref="I28:I29"/>
    <mergeCell ref="J28:J29"/>
    <mergeCell ref="A28:A29"/>
    <mergeCell ref="B28:B29"/>
    <mergeCell ref="C28:C29"/>
    <mergeCell ref="D28:D29"/>
    <mergeCell ref="E28:E29"/>
    <mergeCell ref="F28:F29"/>
    <mergeCell ref="G28:G29"/>
    <mergeCell ref="H28:H29"/>
    <mergeCell ref="G30:G31"/>
    <mergeCell ref="H30:H31"/>
    <mergeCell ref="I30:I31"/>
    <mergeCell ref="J30:J31"/>
    <mergeCell ref="A30:A31"/>
    <mergeCell ref="B30:B31"/>
    <mergeCell ref="C30:C31"/>
    <mergeCell ref="D30:D31"/>
    <mergeCell ref="E30:E31"/>
    <mergeCell ref="F30:F31"/>
    <mergeCell ref="I32:I33"/>
    <mergeCell ref="J32:J33"/>
    <mergeCell ref="A32:A33"/>
    <mergeCell ref="B32:B33"/>
    <mergeCell ref="C32:C33"/>
    <mergeCell ref="D32:D33"/>
    <mergeCell ref="E32:E33"/>
    <mergeCell ref="F32:F33"/>
    <mergeCell ref="G32:G33"/>
    <mergeCell ref="H32:H33"/>
    <mergeCell ref="G34:G35"/>
    <mergeCell ref="H34:H35"/>
    <mergeCell ref="I34:I35"/>
    <mergeCell ref="J34:J35"/>
    <mergeCell ref="A34:A35"/>
    <mergeCell ref="B34:B35"/>
    <mergeCell ref="C34:C35"/>
    <mergeCell ref="D34:D35"/>
    <mergeCell ref="E34:E35"/>
    <mergeCell ref="F34:F35"/>
    <mergeCell ref="I38:I39"/>
    <mergeCell ref="J38:J39"/>
    <mergeCell ref="A38:A39"/>
    <mergeCell ref="B38:B39"/>
    <mergeCell ref="C38:C39"/>
    <mergeCell ref="D38:D39"/>
    <mergeCell ref="E38:E39"/>
    <mergeCell ref="F38:F39"/>
    <mergeCell ref="I36:I37"/>
    <mergeCell ref="J36:J37"/>
    <mergeCell ref="A36:A37"/>
    <mergeCell ref="B36:B37"/>
    <mergeCell ref="C36:C37"/>
    <mergeCell ref="D36:D37"/>
    <mergeCell ref="E36:E37"/>
    <mergeCell ref="F36:F37"/>
    <mergeCell ref="G36:G37"/>
    <mergeCell ref="H36:H37"/>
    <mergeCell ref="A40:A41"/>
    <mergeCell ref="B40:B41"/>
    <mergeCell ref="C40:C41"/>
    <mergeCell ref="D40:D41"/>
    <mergeCell ref="E40:E41"/>
    <mergeCell ref="F40:F41"/>
    <mergeCell ref="G40:G41"/>
    <mergeCell ref="H40:H41"/>
    <mergeCell ref="G38:G39"/>
    <mergeCell ref="H38:H39"/>
    <mergeCell ref="A46:R46"/>
    <mergeCell ref="C1:J2"/>
    <mergeCell ref="I44:I45"/>
    <mergeCell ref="J44:J45"/>
    <mergeCell ref="A44:A45"/>
    <mergeCell ref="B44:B45"/>
    <mergeCell ref="C44:C45"/>
    <mergeCell ref="D44:D45"/>
    <mergeCell ref="E44:E45"/>
    <mergeCell ref="F44:F45"/>
    <mergeCell ref="G44:G45"/>
    <mergeCell ref="H44:H45"/>
    <mergeCell ref="G42:G43"/>
    <mergeCell ref="H42:H43"/>
    <mergeCell ref="I42:I43"/>
    <mergeCell ref="J42:J43"/>
    <mergeCell ref="A42:A43"/>
    <mergeCell ref="B42:B43"/>
    <mergeCell ref="C42:C43"/>
    <mergeCell ref="D42:D43"/>
    <mergeCell ref="E42:E43"/>
    <mergeCell ref="F42:F43"/>
    <mergeCell ref="I40:I41"/>
    <mergeCell ref="J40:J4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6386-940E-45D6-B906-D02F0DC9F172}">
  <dimension ref="A1:R47"/>
  <sheetViews>
    <sheetView topLeftCell="A25" workbookViewId="0">
      <selection activeCell="C4" sqref="C4"/>
    </sheetView>
  </sheetViews>
  <sheetFormatPr defaultRowHeight="16.2" x14ac:dyDescent="0.3"/>
  <sheetData>
    <row r="1" spans="1:18" ht="16.8" thickTop="1" x14ac:dyDescent="0.3">
      <c r="A1" s="102" t="s">
        <v>6</v>
      </c>
      <c r="B1" s="103"/>
      <c r="C1" s="92" t="s">
        <v>18</v>
      </c>
      <c r="D1" s="78"/>
      <c r="E1" s="78"/>
      <c r="F1" s="78"/>
      <c r="G1" s="78"/>
      <c r="H1" s="78"/>
      <c r="I1" s="78"/>
      <c r="J1" s="93"/>
      <c r="K1" s="92" t="s">
        <v>17</v>
      </c>
      <c r="L1" s="78"/>
      <c r="M1" s="78"/>
      <c r="N1" s="78"/>
      <c r="O1" s="78"/>
      <c r="P1" s="78"/>
      <c r="Q1" s="78"/>
      <c r="R1" s="79"/>
    </row>
    <row r="2" spans="1:18" ht="16.8" thickBot="1" x14ac:dyDescent="0.35">
      <c r="A2" s="85" t="s">
        <v>1</v>
      </c>
      <c r="B2" s="104"/>
      <c r="C2" s="94"/>
      <c r="D2" s="81"/>
      <c r="E2" s="81"/>
      <c r="F2" s="81"/>
      <c r="G2" s="81"/>
      <c r="H2" s="81"/>
      <c r="I2" s="81"/>
      <c r="J2" s="95"/>
      <c r="K2" s="94"/>
      <c r="L2" s="81"/>
      <c r="M2" s="81"/>
      <c r="N2" s="81"/>
      <c r="O2" s="81"/>
      <c r="P2" s="81"/>
      <c r="Q2" s="81"/>
      <c r="R2" s="82"/>
    </row>
    <row r="3" spans="1:18" ht="16.8" thickBot="1" x14ac:dyDescent="0.35">
      <c r="A3" s="21" t="s">
        <v>3</v>
      </c>
      <c r="B3" s="22" t="s">
        <v>4</v>
      </c>
      <c r="C3" s="20">
        <v>3</v>
      </c>
      <c r="D3" s="20">
        <v>4</v>
      </c>
      <c r="E3" s="20">
        <v>5</v>
      </c>
      <c r="F3" s="20">
        <v>6</v>
      </c>
      <c r="G3" s="20">
        <v>7</v>
      </c>
      <c r="H3" s="20">
        <v>8</v>
      </c>
      <c r="I3" s="20">
        <v>9</v>
      </c>
      <c r="J3" s="24">
        <v>10</v>
      </c>
      <c r="K3" s="20">
        <v>3</v>
      </c>
      <c r="L3" s="20">
        <v>4</v>
      </c>
      <c r="M3" s="20">
        <v>5</v>
      </c>
      <c r="N3" s="20">
        <v>6</v>
      </c>
      <c r="O3" s="20">
        <v>7</v>
      </c>
      <c r="P3" s="20">
        <v>8</v>
      </c>
      <c r="Q3" s="20">
        <v>9</v>
      </c>
      <c r="R3" s="28">
        <v>10</v>
      </c>
    </row>
    <row r="4" spans="1:18" x14ac:dyDescent="0.3">
      <c r="A4" s="105" t="s">
        <v>5</v>
      </c>
      <c r="B4" s="100">
        <v>3</v>
      </c>
      <c r="C4" s="8">
        <v>6</v>
      </c>
      <c r="D4" s="8">
        <v>7</v>
      </c>
      <c r="E4" s="8">
        <v>8</v>
      </c>
      <c r="F4" s="8">
        <v>10</v>
      </c>
      <c r="G4" s="8">
        <v>14</v>
      </c>
      <c r="H4" s="8">
        <v>18</v>
      </c>
      <c r="I4" s="8">
        <v>29</v>
      </c>
      <c r="J4" s="8">
        <v>44</v>
      </c>
      <c r="K4" s="8">
        <v>4</v>
      </c>
      <c r="L4" s="8">
        <v>5</v>
      </c>
      <c r="M4" s="8">
        <v>6</v>
      </c>
      <c r="N4" s="8">
        <v>8</v>
      </c>
      <c r="O4" s="8">
        <v>12</v>
      </c>
      <c r="P4" s="8">
        <v>16</v>
      </c>
      <c r="Q4" s="8">
        <v>27</v>
      </c>
      <c r="R4" s="9">
        <v>42</v>
      </c>
    </row>
    <row r="5" spans="1:18" ht="16.8" thickBot="1" x14ac:dyDescent="0.35">
      <c r="A5" s="106"/>
      <c r="B5" s="101"/>
      <c r="C5" s="10">
        <v>4</v>
      </c>
      <c r="D5" s="10">
        <v>4</v>
      </c>
      <c r="E5" s="10">
        <v>4</v>
      </c>
      <c r="F5" s="10">
        <v>4</v>
      </c>
      <c r="G5" s="10">
        <v>4</v>
      </c>
      <c r="H5" s="10">
        <v>4</v>
      </c>
      <c r="I5" s="10">
        <v>4</v>
      </c>
      <c r="J5" s="10">
        <v>4</v>
      </c>
      <c r="K5" s="10">
        <v>2</v>
      </c>
      <c r="L5" s="10">
        <v>2</v>
      </c>
      <c r="M5" s="10">
        <v>2</v>
      </c>
      <c r="N5" s="10">
        <v>2</v>
      </c>
      <c r="O5" s="10">
        <v>2</v>
      </c>
      <c r="P5" s="10">
        <v>2</v>
      </c>
      <c r="Q5" s="10">
        <v>2</v>
      </c>
      <c r="R5" s="11">
        <v>2</v>
      </c>
    </row>
    <row r="6" spans="1:18" x14ac:dyDescent="0.3">
      <c r="A6" s="61">
        <v>3</v>
      </c>
      <c r="B6" s="100">
        <v>6</v>
      </c>
      <c r="C6" s="8">
        <v>8.5</v>
      </c>
      <c r="D6" s="8">
        <v>10</v>
      </c>
      <c r="E6" s="8">
        <v>11</v>
      </c>
      <c r="F6" s="8">
        <v>14</v>
      </c>
      <c r="G6" s="8">
        <v>18</v>
      </c>
      <c r="H6" s="8">
        <v>24</v>
      </c>
      <c r="I6" s="8">
        <v>36</v>
      </c>
      <c r="J6" s="8">
        <v>54</v>
      </c>
      <c r="K6" s="8">
        <v>6.5</v>
      </c>
      <c r="L6" s="8">
        <v>8</v>
      </c>
      <c r="M6" s="8">
        <v>9</v>
      </c>
      <c r="N6" s="8">
        <v>12</v>
      </c>
      <c r="O6" s="8">
        <v>16</v>
      </c>
      <c r="P6" s="8">
        <v>22</v>
      </c>
      <c r="Q6" s="8">
        <v>34</v>
      </c>
      <c r="R6" s="9">
        <v>52</v>
      </c>
    </row>
    <row r="7" spans="1:18" ht="16.8" thickBot="1" x14ac:dyDescent="0.35">
      <c r="A7" s="62"/>
      <c r="B7" s="101"/>
      <c r="C7" s="10">
        <v>6</v>
      </c>
      <c r="D7" s="10">
        <v>6</v>
      </c>
      <c r="E7" s="10">
        <v>6</v>
      </c>
      <c r="F7" s="10">
        <v>6</v>
      </c>
      <c r="G7" s="10">
        <v>6</v>
      </c>
      <c r="H7" s="10">
        <v>6</v>
      </c>
      <c r="I7" s="10">
        <v>6</v>
      </c>
      <c r="J7" s="10">
        <v>6</v>
      </c>
      <c r="K7" s="10">
        <v>4</v>
      </c>
      <c r="L7" s="10">
        <v>4</v>
      </c>
      <c r="M7" s="10">
        <v>4</v>
      </c>
      <c r="N7" s="10">
        <v>4</v>
      </c>
      <c r="O7" s="10">
        <v>4</v>
      </c>
      <c r="P7" s="10">
        <v>4</v>
      </c>
      <c r="Q7" s="10">
        <v>4</v>
      </c>
      <c r="R7" s="11">
        <v>4</v>
      </c>
    </row>
    <row r="8" spans="1:18" x14ac:dyDescent="0.3">
      <c r="A8" s="61">
        <v>6</v>
      </c>
      <c r="B8" s="100">
        <v>10</v>
      </c>
      <c r="C8" s="8">
        <v>10.5</v>
      </c>
      <c r="D8" s="8">
        <v>12</v>
      </c>
      <c r="E8" s="8">
        <v>14</v>
      </c>
      <c r="F8" s="8">
        <v>17</v>
      </c>
      <c r="G8" s="8">
        <v>23</v>
      </c>
      <c r="H8" s="8">
        <v>30</v>
      </c>
      <c r="I8" s="8">
        <v>44</v>
      </c>
      <c r="J8" s="8">
        <v>66</v>
      </c>
      <c r="K8" s="8">
        <v>7.5</v>
      </c>
      <c r="L8" s="8">
        <v>9</v>
      </c>
      <c r="M8" s="8">
        <v>11</v>
      </c>
      <c r="N8" s="8">
        <v>14</v>
      </c>
      <c r="O8" s="8">
        <v>20</v>
      </c>
      <c r="P8" s="8">
        <v>27</v>
      </c>
      <c r="Q8" s="8">
        <v>41</v>
      </c>
      <c r="R8" s="9">
        <v>63</v>
      </c>
    </row>
    <row r="9" spans="1:18" ht="16.8" thickBot="1" x14ac:dyDescent="0.35">
      <c r="A9" s="62"/>
      <c r="B9" s="101"/>
      <c r="C9" s="8">
        <v>8</v>
      </c>
      <c r="D9" s="10">
        <v>8</v>
      </c>
      <c r="E9" s="10">
        <v>8</v>
      </c>
      <c r="F9" s="10">
        <v>8</v>
      </c>
      <c r="G9" s="10">
        <v>8</v>
      </c>
      <c r="H9" s="10">
        <v>8</v>
      </c>
      <c r="I9" s="10">
        <v>8</v>
      </c>
      <c r="J9" s="10">
        <v>8</v>
      </c>
      <c r="K9" s="10">
        <v>5</v>
      </c>
      <c r="L9" s="10">
        <v>5</v>
      </c>
      <c r="M9" s="10">
        <v>5</v>
      </c>
      <c r="N9" s="10">
        <v>5</v>
      </c>
      <c r="O9" s="10">
        <v>5</v>
      </c>
      <c r="P9" s="10">
        <v>5</v>
      </c>
      <c r="Q9" s="10">
        <v>5</v>
      </c>
      <c r="R9" s="11">
        <v>5</v>
      </c>
    </row>
    <row r="10" spans="1:18" x14ac:dyDescent="0.3">
      <c r="A10" s="61">
        <v>10</v>
      </c>
      <c r="B10" s="108">
        <v>18</v>
      </c>
      <c r="C10" s="52">
        <v>13</v>
      </c>
      <c r="D10" s="8">
        <v>15</v>
      </c>
      <c r="E10" s="8">
        <v>18</v>
      </c>
      <c r="F10" s="8">
        <v>21</v>
      </c>
      <c r="G10" s="8">
        <v>28</v>
      </c>
      <c r="H10" s="8">
        <v>37</v>
      </c>
      <c r="I10" s="8">
        <v>53</v>
      </c>
      <c r="J10" s="8">
        <v>80</v>
      </c>
      <c r="K10" s="8">
        <v>9</v>
      </c>
      <c r="L10" s="8">
        <v>11</v>
      </c>
      <c r="M10" s="8">
        <v>14</v>
      </c>
      <c r="N10" s="8">
        <v>17</v>
      </c>
      <c r="O10" s="8">
        <v>24</v>
      </c>
      <c r="P10" s="8">
        <v>33</v>
      </c>
      <c r="Q10" s="8">
        <v>49</v>
      </c>
      <c r="R10" s="9">
        <v>76</v>
      </c>
    </row>
    <row r="11" spans="1:18" ht="16.8" thickBot="1" x14ac:dyDescent="0.35">
      <c r="A11" s="62"/>
      <c r="B11" s="109"/>
      <c r="C11" s="53">
        <v>10</v>
      </c>
      <c r="D11" s="10">
        <v>10</v>
      </c>
      <c r="E11" s="10">
        <v>10</v>
      </c>
      <c r="F11" s="10">
        <v>10</v>
      </c>
      <c r="G11" s="10">
        <v>10</v>
      </c>
      <c r="H11" s="10">
        <v>10</v>
      </c>
      <c r="I11" s="10">
        <v>10</v>
      </c>
      <c r="J11" s="10">
        <v>10</v>
      </c>
      <c r="K11" s="10">
        <v>6</v>
      </c>
      <c r="L11" s="10">
        <v>6</v>
      </c>
      <c r="M11" s="10">
        <v>6</v>
      </c>
      <c r="N11" s="10">
        <v>6</v>
      </c>
      <c r="O11" s="10">
        <v>6</v>
      </c>
      <c r="P11" s="10">
        <v>6</v>
      </c>
      <c r="Q11" s="10">
        <v>6</v>
      </c>
      <c r="R11" s="11">
        <v>6</v>
      </c>
    </row>
    <row r="12" spans="1:18" x14ac:dyDescent="0.3">
      <c r="A12" s="61">
        <v>18</v>
      </c>
      <c r="B12" s="108">
        <v>30</v>
      </c>
      <c r="C12" s="54">
        <v>16</v>
      </c>
      <c r="D12" s="8">
        <v>18</v>
      </c>
      <c r="E12" s="8">
        <v>21</v>
      </c>
      <c r="F12" s="8">
        <v>25</v>
      </c>
      <c r="G12" s="8">
        <v>33</v>
      </c>
      <c r="H12" s="8">
        <v>45</v>
      </c>
      <c r="I12" s="8">
        <v>64</v>
      </c>
      <c r="J12" s="8">
        <v>96</v>
      </c>
      <c r="K12" s="8">
        <v>11</v>
      </c>
      <c r="L12" s="8">
        <v>13</v>
      </c>
      <c r="M12" s="8">
        <v>16</v>
      </c>
      <c r="N12" s="8">
        <v>20</v>
      </c>
      <c r="O12" s="8">
        <v>28</v>
      </c>
      <c r="P12" s="8">
        <v>40</v>
      </c>
      <c r="Q12" s="8">
        <v>59</v>
      </c>
      <c r="R12" s="9">
        <v>91</v>
      </c>
    </row>
    <row r="13" spans="1:18" ht="16.8" thickBot="1" x14ac:dyDescent="0.35">
      <c r="A13" s="62"/>
      <c r="B13" s="109"/>
      <c r="C13" s="53">
        <v>12</v>
      </c>
      <c r="D13" s="10">
        <v>12</v>
      </c>
      <c r="E13" s="10">
        <v>12</v>
      </c>
      <c r="F13" s="10">
        <v>12</v>
      </c>
      <c r="G13" s="10">
        <v>12</v>
      </c>
      <c r="H13" s="10">
        <v>12</v>
      </c>
      <c r="I13" s="10">
        <v>12</v>
      </c>
      <c r="J13" s="10">
        <v>12</v>
      </c>
      <c r="K13" s="10">
        <v>7</v>
      </c>
      <c r="L13" s="10">
        <v>7</v>
      </c>
      <c r="M13" s="10">
        <v>7</v>
      </c>
      <c r="N13" s="10">
        <v>7</v>
      </c>
      <c r="O13" s="10">
        <v>7</v>
      </c>
      <c r="P13" s="10">
        <v>7</v>
      </c>
      <c r="Q13" s="10">
        <v>7</v>
      </c>
      <c r="R13" s="11">
        <v>7</v>
      </c>
    </row>
    <row r="14" spans="1:18" x14ac:dyDescent="0.3">
      <c r="A14" s="61">
        <v>30</v>
      </c>
      <c r="B14" s="108">
        <v>50</v>
      </c>
      <c r="C14" s="54">
        <v>19</v>
      </c>
      <c r="D14" s="8">
        <v>22</v>
      </c>
      <c r="E14" s="8">
        <v>26</v>
      </c>
      <c r="F14" s="8">
        <v>31</v>
      </c>
      <c r="G14" s="8">
        <v>40</v>
      </c>
      <c r="H14" s="8">
        <v>54</v>
      </c>
      <c r="I14" s="8">
        <v>77</v>
      </c>
      <c r="J14" s="8">
        <v>115</v>
      </c>
      <c r="K14" s="8">
        <v>13</v>
      </c>
      <c r="L14" s="8">
        <v>16</v>
      </c>
      <c r="M14" s="8">
        <v>20</v>
      </c>
      <c r="N14" s="8">
        <v>25</v>
      </c>
      <c r="O14" s="8">
        <v>34</v>
      </c>
      <c r="P14" s="8">
        <v>48</v>
      </c>
      <c r="Q14" s="8">
        <v>71</v>
      </c>
      <c r="R14" s="9">
        <v>109</v>
      </c>
    </row>
    <row r="15" spans="1:18" ht="16.8" thickBot="1" x14ac:dyDescent="0.35">
      <c r="A15" s="62"/>
      <c r="B15" s="109"/>
      <c r="C15" s="55">
        <v>15</v>
      </c>
      <c r="D15" s="10">
        <v>15</v>
      </c>
      <c r="E15" s="10">
        <v>15</v>
      </c>
      <c r="F15" s="10">
        <v>15</v>
      </c>
      <c r="G15" s="10">
        <v>15</v>
      </c>
      <c r="H15" s="10">
        <v>15</v>
      </c>
      <c r="I15" s="10">
        <v>15</v>
      </c>
      <c r="J15" s="10">
        <v>15</v>
      </c>
      <c r="K15" s="10">
        <v>9</v>
      </c>
      <c r="L15" s="10">
        <v>9</v>
      </c>
      <c r="M15" s="10">
        <v>9</v>
      </c>
      <c r="N15" s="10">
        <v>9</v>
      </c>
      <c r="O15" s="10">
        <v>9</v>
      </c>
      <c r="P15" s="10">
        <v>9</v>
      </c>
      <c r="Q15" s="10">
        <v>9</v>
      </c>
      <c r="R15" s="11">
        <v>9</v>
      </c>
    </row>
    <row r="16" spans="1:18" ht="16.8" thickBot="1" x14ac:dyDescent="0.35">
      <c r="A16" s="61">
        <v>50</v>
      </c>
      <c r="B16" s="100">
        <v>80</v>
      </c>
      <c r="C16" s="107"/>
      <c r="D16" s="107"/>
      <c r="E16" s="107"/>
      <c r="F16" s="107"/>
      <c r="G16" s="107"/>
      <c r="H16" s="107"/>
      <c r="I16" s="107"/>
      <c r="J16" s="107"/>
      <c r="K16" s="10">
        <v>15</v>
      </c>
      <c r="L16" s="10">
        <v>18</v>
      </c>
      <c r="M16" s="8">
        <v>23</v>
      </c>
      <c r="N16" s="8">
        <v>29</v>
      </c>
      <c r="O16" s="8">
        <v>40</v>
      </c>
      <c r="P16" s="8">
        <v>56</v>
      </c>
      <c r="Q16" s="10">
        <f>(74)+10</f>
        <v>84</v>
      </c>
      <c r="R16" s="10">
        <f>(120)+10</f>
        <v>130</v>
      </c>
    </row>
    <row r="17" spans="1:18" ht="16.8" thickBot="1" x14ac:dyDescent="0.35">
      <c r="A17" s="62"/>
      <c r="B17" s="101"/>
      <c r="C17" s="88"/>
      <c r="D17" s="88"/>
      <c r="E17" s="88"/>
      <c r="F17" s="88"/>
      <c r="G17" s="88"/>
      <c r="H17" s="88"/>
      <c r="I17" s="88"/>
      <c r="J17" s="88"/>
      <c r="K17" s="10">
        <v>10</v>
      </c>
      <c r="L17" s="10">
        <v>10</v>
      </c>
      <c r="M17" s="10">
        <v>10</v>
      </c>
      <c r="N17" s="10">
        <v>10</v>
      </c>
      <c r="O17" s="10">
        <v>10</v>
      </c>
      <c r="P17" s="10">
        <v>10</v>
      </c>
      <c r="Q17" s="10">
        <v>10</v>
      </c>
      <c r="R17" s="10">
        <v>10</v>
      </c>
    </row>
    <row r="18" spans="1:18" ht="16.8" thickBot="1" x14ac:dyDescent="0.35">
      <c r="A18" s="61">
        <v>80</v>
      </c>
      <c r="B18" s="100">
        <v>120</v>
      </c>
      <c r="C18" s="87"/>
      <c r="D18" s="87"/>
      <c r="E18" s="87"/>
      <c r="F18" s="87"/>
      <c r="G18" s="87"/>
      <c r="H18" s="87"/>
      <c r="I18" s="87"/>
      <c r="J18" s="87"/>
      <c r="K18" s="10">
        <v>18</v>
      </c>
      <c r="L18" s="10">
        <v>22</v>
      </c>
      <c r="M18" s="8">
        <v>27</v>
      </c>
      <c r="N18" s="8">
        <v>34</v>
      </c>
      <c r="O18" s="8">
        <v>47</v>
      </c>
      <c r="P18" s="8">
        <v>66</v>
      </c>
      <c r="Q18" s="10">
        <v>99</v>
      </c>
      <c r="R18" s="10">
        <v>152</v>
      </c>
    </row>
    <row r="19" spans="1:18" ht="16.8" thickBot="1" x14ac:dyDescent="0.35">
      <c r="A19" s="62"/>
      <c r="B19" s="101"/>
      <c r="C19" s="88"/>
      <c r="D19" s="88"/>
      <c r="E19" s="88"/>
      <c r="F19" s="88"/>
      <c r="G19" s="88"/>
      <c r="H19" s="88"/>
      <c r="I19" s="88"/>
      <c r="J19" s="88"/>
      <c r="K19" s="10">
        <v>12</v>
      </c>
      <c r="L19" s="10">
        <v>12</v>
      </c>
      <c r="M19" s="10">
        <v>12</v>
      </c>
      <c r="N19" s="10">
        <v>12</v>
      </c>
      <c r="O19" s="10">
        <v>12</v>
      </c>
      <c r="P19" s="10">
        <v>12</v>
      </c>
      <c r="Q19" s="10">
        <v>12</v>
      </c>
      <c r="R19" s="10">
        <v>12</v>
      </c>
    </row>
    <row r="20" spans="1:18" ht="16.8" thickBot="1" x14ac:dyDescent="0.35">
      <c r="A20" s="61">
        <v>120</v>
      </c>
      <c r="B20" s="100">
        <v>180</v>
      </c>
      <c r="C20" s="87"/>
      <c r="D20" s="87"/>
      <c r="E20" s="87"/>
      <c r="F20" s="87"/>
      <c r="G20" s="87"/>
      <c r="H20" s="87"/>
      <c r="I20" s="87"/>
      <c r="J20" s="87"/>
      <c r="K20" s="10">
        <v>22</v>
      </c>
      <c r="L20" s="10">
        <v>26</v>
      </c>
      <c r="M20" s="8">
        <v>32</v>
      </c>
      <c r="N20" s="8">
        <v>39</v>
      </c>
      <c r="O20" s="8">
        <v>54</v>
      </c>
      <c r="P20" s="8">
        <v>77</v>
      </c>
      <c r="Q20" s="10">
        <f>(100)+14</f>
        <v>114</v>
      </c>
      <c r="R20" s="10">
        <f>(160)+14</f>
        <v>174</v>
      </c>
    </row>
    <row r="21" spans="1:18" ht="16.8" thickBot="1" x14ac:dyDescent="0.35">
      <c r="A21" s="62"/>
      <c r="B21" s="101"/>
      <c r="C21" s="88"/>
      <c r="D21" s="88"/>
      <c r="E21" s="88"/>
      <c r="F21" s="88"/>
      <c r="G21" s="88"/>
      <c r="H21" s="88"/>
      <c r="I21" s="88"/>
      <c r="J21" s="88"/>
      <c r="K21" s="10">
        <v>14</v>
      </c>
      <c r="L21" s="10">
        <v>14</v>
      </c>
      <c r="M21" s="10">
        <v>14</v>
      </c>
      <c r="N21" s="10">
        <v>14</v>
      </c>
      <c r="O21" s="10">
        <v>14</v>
      </c>
      <c r="P21" s="10">
        <v>14</v>
      </c>
      <c r="Q21" s="10">
        <v>14</v>
      </c>
      <c r="R21" s="10">
        <v>14</v>
      </c>
    </row>
    <row r="22" spans="1:18" ht="16.8" thickBot="1" x14ac:dyDescent="0.35">
      <c r="A22" s="61">
        <v>180</v>
      </c>
      <c r="B22" s="100">
        <v>250</v>
      </c>
      <c r="C22" s="87"/>
      <c r="D22" s="87"/>
      <c r="E22" s="87"/>
      <c r="F22" s="87"/>
      <c r="G22" s="87"/>
      <c r="H22" s="87"/>
      <c r="I22" s="87"/>
      <c r="J22" s="87"/>
      <c r="K22" s="10">
        <v>25</v>
      </c>
      <c r="L22" s="10">
        <v>29</v>
      </c>
      <c r="M22" s="8">
        <v>35</v>
      </c>
      <c r="N22" s="8">
        <v>44</v>
      </c>
      <c r="O22" s="8">
        <v>61</v>
      </c>
      <c r="P22" s="8">
        <v>87</v>
      </c>
      <c r="Q22" s="10">
        <f>(115)+15</f>
        <v>130</v>
      </c>
      <c r="R22" s="10">
        <f>(185)+15</f>
        <v>200</v>
      </c>
    </row>
    <row r="23" spans="1:18" ht="16.8" thickBot="1" x14ac:dyDescent="0.35">
      <c r="A23" s="62"/>
      <c r="B23" s="101"/>
      <c r="C23" s="88"/>
      <c r="D23" s="88"/>
      <c r="E23" s="88"/>
      <c r="F23" s="88"/>
      <c r="G23" s="88"/>
      <c r="H23" s="88"/>
      <c r="I23" s="88"/>
      <c r="J23" s="88"/>
      <c r="K23" s="10">
        <v>15</v>
      </c>
      <c r="L23" s="10">
        <v>15</v>
      </c>
      <c r="M23" s="10">
        <v>15</v>
      </c>
      <c r="N23" s="10">
        <v>15</v>
      </c>
      <c r="O23" s="10">
        <v>15</v>
      </c>
      <c r="P23" s="10">
        <v>15</v>
      </c>
      <c r="Q23" s="10">
        <v>15</v>
      </c>
      <c r="R23" s="10">
        <v>15</v>
      </c>
    </row>
    <row r="24" spans="1:18" ht="16.8" thickBot="1" x14ac:dyDescent="0.35">
      <c r="A24" s="61">
        <v>250</v>
      </c>
      <c r="B24" s="100">
        <v>315</v>
      </c>
      <c r="C24" s="87"/>
      <c r="D24" s="87"/>
      <c r="E24" s="87"/>
      <c r="F24" s="87"/>
      <c r="G24" s="87"/>
      <c r="H24" s="87"/>
      <c r="I24" s="87"/>
      <c r="J24" s="87"/>
      <c r="K24" s="10">
        <v>29</v>
      </c>
      <c r="L24" s="10">
        <v>33</v>
      </c>
      <c r="M24" s="8">
        <v>40</v>
      </c>
      <c r="N24" s="8">
        <v>49</v>
      </c>
      <c r="O24" s="8">
        <v>69</v>
      </c>
      <c r="P24" s="8">
        <v>98</v>
      </c>
      <c r="Q24" s="10">
        <f>(130)+17</f>
        <v>147</v>
      </c>
      <c r="R24" s="10">
        <f>(210)+17</f>
        <v>227</v>
      </c>
    </row>
    <row r="25" spans="1:18" ht="16.8" thickBot="1" x14ac:dyDescent="0.35">
      <c r="A25" s="62"/>
      <c r="B25" s="101"/>
      <c r="C25" s="88"/>
      <c r="D25" s="88"/>
      <c r="E25" s="88"/>
      <c r="F25" s="88"/>
      <c r="G25" s="88"/>
      <c r="H25" s="88"/>
      <c r="I25" s="88"/>
      <c r="J25" s="88"/>
      <c r="K25" s="10">
        <v>17</v>
      </c>
      <c r="L25" s="10">
        <v>17</v>
      </c>
      <c r="M25" s="10">
        <v>17</v>
      </c>
      <c r="N25" s="10">
        <v>17</v>
      </c>
      <c r="O25" s="10">
        <v>17</v>
      </c>
      <c r="P25" s="10">
        <v>17</v>
      </c>
      <c r="Q25" s="10">
        <v>17</v>
      </c>
      <c r="R25" s="10">
        <v>17</v>
      </c>
    </row>
    <row r="26" spans="1:18" ht="16.8" thickBot="1" x14ac:dyDescent="0.35">
      <c r="A26" s="61">
        <v>315</v>
      </c>
      <c r="B26" s="100">
        <v>400</v>
      </c>
      <c r="C26" s="87"/>
      <c r="D26" s="87"/>
      <c r="E26" s="87"/>
      <c r="F26" s="87"/>
      <c r="G26" s="87"/>
      <c r="H26" s="87"/>
      <c r="I26" s="87"/>
      <c r="J26" s="87"/>
      <c r="K26" s="10">
        <v>31</v>
      </c>
      <c r="L26" s="10">
        <v>36</v>
      </c>
      <c r="M26" s="8">
        <v>43</v>
      </c>
      <c r="N26" s="8">
        <v>54</v>
      </c>
      <c r="O26" s="8">
        <v>75</v>
      </c>
      <c r="P26" s="8">
        <v>107</v>
      </c>
      <c r="Q26" s="10">
        <f>(140)+18</f>
        <v>158</v>
      </c>
      <c r="R26" s="10">
        <f>(230)+18</f>
        <v>248</v>
      </c>
    </row>
    <row r="27" spans="1:18" ht="16.8" thickBot="1" x14ac:dyDescent="0.35">
      <c r="A27" s="62"/>
      <c r="B27" s="101"/>
      <c r="C27" s="88"/>
      <c r="D27" s="88"/>
      <c r="E27" s="88"/>
      <c r="F27" s="88"/>
      <c r="G27" s="88"/>
      <c r="H27" s="88"/>
      <c r="I27" s="88"/>
      <c r="J27" s="88"/>
      <c r="K27" s="10">
        <v>18</v>
      </c>
      <c r="L27" s="10">
        <v>18</v>
      </c>
      <c r="M27" s="10">
        <v>18</v>
      </c>
      <c r="N27" s="10">
        <v>18</v>
      </c>
      <c r="O27" s="10">
        <v>18</v>
      </c>
      <c r="P27" s="10">
        <v>18</v>
      </c>
      <c r="Q27" s="10">
        <v>18</v>
      </c>
      <c r="R27" s="10">
        <v>18</v>
      </c>
    </row>
    <row r="28" spans="1:18" ht="16.8" thickBot="1" x14ac:dyDescent="0.35">
      <c r="A28" s="61">
        <v>400</v>
      </c>
      <c r="B28" s="100">
        <v>500</v>
      </c>
      <c r="C28" s="87"/>
      <c r="D28" s="87"/>
      <c r="E28" s="87"/>
      <c r="F28" s="87"/>
      <c r="G28" s="87"/>
      <c r="H28" s="87"/>
      <c r="I28" s="87"/>
      <c r="J28" s="87"/>
      <c r="K28" s="10">
        <v>35</v>
      </c>
      <c r="L28" s="10">
        <v>40</v>
      </c>
      <c r="M28" s="8">
        <v>47</v>
      </c>
      <c r="N28" s="8">
        <v>60</v>
      </c>
      <c r="O28" s="8">
        <v>83</v>
      </c>
      <c r="P28" s="8">
        <v>117</v>
      </c>
      <c r="Q28" s="10">
        <f>(155)+20</f>
        <v>175</v>
      </c>
      <c r="R28" s="10">
        <f>(250)+20</f>
        <v>270</v>
      </c>
    </row>
    <row r="29" spans="1:18" ht="16.8" thickBot="1" x14ac:dyDescent="0.35">
      <c r="A29" s="62"/>
      <c r="B29" s="101"/>
      <c r="C29" s="88"/>
      <c r="D29" s="88"/>
      <c r="E29" s="88"/>
      <c r="F29" s="88"/>
      <c r="G29" s="88"/>
      <c r="H29" s="88"/>
      <c r="I29" s="88"/>
      <c r="J29" s="88"/>
      <c r="K29" s="10">
        <v>20</v>
      </c>
      <c r="L29" s="10">
        <v>20</v>
      </c>
      <c r="M29" s="10">
        <v>20</v>
      </c>
      <c r="N29" s="10">
        <v>20</v>
      </c>
      <c r="O29" s="10">
        <v>20</v>
      </c>
      <c r="P29" s="10">
        <v>20</v>
      </c>
      <c r="Q29" s="10">
        <v>20</v>
      </c>
      <c r="R29" s="10">
        <v>20</v>
      </c>
    </row>
    <row r="30" spans="1:18" ht="16.8" thickBot="1" x14ac:dyDescent="0.35">
      <c r="A30" s="61">
        <v>500</v>
      </c>
      <c r="B30" s="100">
        <v>630</v>
      </c>
      <c r="C30" s="87"/>
      <c r="D30" s="87"/>
      <c r="E30" s="87"/>
      <c r="F30" s="87"/>
      <c r="G30" s="87"/>
      <c r="H30" s="87"/>
      <c r="I30" s="87"/>
      <c r="J30" s="87"/>
      <c r="K30" s="10">
        <v>38</v>
      </c>
      <c r="L30" s="10">
        <v>44</v>
      </c>
      <c r="M30" s="10">
        <v>54</v>
      </c>
      <c r="N30" s="8">
        <v>66</v>
      </c>
      <c r="O30" s="8">
        <v>92</v>
      </c>
      <c r="P30" s="8">
        <v>132</v>
      </c>
      <c r="Q30" s="10">
        <f>(175)+22</f>
        <v>197</v>
      </c>
      <c r="R30" s="10">
        <f>(280)+22</f>
        <v>302</v>
      </c>
    </row>
    <row r="31" spans="1:18" ht="16.8" thickBot="1" x14ac:dyDescent="0.35">
      <c r="A31" s="62"/>
      <c r="B31" s="101"/>
      <c r="C31" s="88"/>
      <c r="D31" s="88"/>
      <c r="E31" s="88"/>
      <c r="F31" s="88"/>
      <c r="G31" s="88"/>
      <c r="H31" s="88"/>
      <c r="I31" s="88"/>
      <c r="J31" s="88"/>
      <c r="K31" s="10">
        <v>22</v>
      </c>
      <c r="L31" s="10">
        <v>22</v>
      </c>
      <c r="M31" s="10">
        <v>22</v>
      </c>
      <c r="N31" s="10">
        <v>22</v>
      </c>
      <c r="O31" s="10">
        <v>22</v>
      </c>
      <c r="P31" s="10">
        <v>22</v>
      </c>
      <c r="Q31" s="10">
        <v>22</v>
      </c>
      <c r="R31" s="10">
        <v>22</v>
      </c>
    </row>
    <row r="32" spans="1:18" ht="16.8" thickBot="1" x14ac:dyDescent="0.35">
      <c r="A32" s="61">
        <v>630</v>
      </c>
      <c r="B32" s="100">
        <v>800</v>
      </c>
      <c r="C32" s="87"/>
      <c r="D32" s="87"/>
      <c r="E32" s="87"/>
      <c r="F32" s="87"/>
      <c r="G32" s="87"/>
      <c r="H32" s="87"/>
      <c r="I32" s="87"/>
      <c r="J32" s="87"/>
      <c r="K32" s="10">
        <v>42</v>
      </c>
      <c r="L32" s="10">
        <v>49</v>
      </c>
      <c r="M32" s="10">
        <v>60</v>
      </c>
      <c r="N32" s="8">
        <v>74</v>
      </c>
      <c r="O32" s="8">
        <v>104</v>
      </c>
      <c r="P32" s="8">
        <v>149</v>
      </c>
      <c r="Q32" s="10">
        <f>(200)+24</f>
        <v>224</v>
      </c>
      <c r="R32" s="10">
        <f>(320)+24</f>
        <v>344</v>
      </c>
    </row>
    <row r="33" spans="1:18" ht="16.8" thickBot="1" x14ac:dyDescent="0.35">
      <c r="A33" s="62"/>
      <c r="B33" s="101"/>
      <c r="C33" s="88"/>
      <c r="D33" s="88"/>
      <c r="E33" s="88"/>
      <c r="F33" s="88"/>
      <c r="G33" s="88"/>
      <c r="H33" s="88"/>
      <c r="I33" s="88"/>
      <c r="J33" s="88"/>
      <c r="K33" s="10">
        <v>24</v>
      </c>
      <c r="L33" s="10">
        <v>24</v>
      </c>
      <c r="M33" s="10">
        <v>24</v>
      </c>
      <c r="N33" s="10">
        <v>24</v>
      </c>
      <c r="O33" s="10">
        <v>24</v>
      </c>
      <c r="P33" s="10">
        <v>24</v>
      </c>
      <c r="Q33" s="10">
        <v>24</v>
      </c>
      <c r="R33" s="10">
        <v>24</v>
      </c>
    </row>
    <row r="34" spans="1:18" ht="16.8" thickBot="1" x14ac:dyDescent="0.35">
      <c r="A34" s="61">
        <v>800</v>
      </c>
      <c r="B34" s="98">
        <v>1000</v>
      </c>
      <c r="C34" s="87"/>
      <c r="D34" s="87"/>
      <c r="E34" s="87"/>
      <c r="F34" s="87"/>
      <c r="G34" s="87"/>
      <c r="H34" s="87"/>
      <c r="I34" s="87"/>
      <c r="J34" s="87"/>
      <c r="K34" s="10">
        <v>47</v>
      </c>
      <c r="L34" s="10">
        <v>54</v>
      </c>
      <c r="M34" s="10">
        <v>66</v>
      </c>
      <c r="N34" s="8">
        <v>82</v>
      </c>
      <c r="O34" s="8">
        <v>116</v>
      </c>
      <c r="P34" s="8">
        <v>166</v>
      </c>
      <c r="Q34" s="10">
        <f>(230)+26</f>
        <v>256</v>
      </c>
      <c r="R34" s="10">
        <f>(360)+26</f>
        <v>386</v>
      </c>
    </row>
    <row r="35" spans="1:18" ht="16.8" thickBot="1" x14ac:dyDescent="0.35">
      <c r="A35" s="62"/>
      <c r="B35" s="99"/>
      <c r="C35" s="88"/>
      <c r="D35" s="88"/>
      <c r="E35" s="88"/>
      <c r="F35" s="88"/>
      <c r="G35" s="88"/>
      <c r="H35" s="88"/>
      <c r="I35" s="88"/>
      <c r="J35" s="88"/>
      <c r="K35" s="10">
        <v>26</v>
      </c>
      <c r="L35" s="10">
        <v>26</v>
      </c>
      <c r="M35" s="10">
        <v>26</v>
      </c>
      <c r="N35" s="10">
        <v>26</v>
      </c>
      <c r="O35" s="10">
        <v>26</v>
      </c>
      <c r="P35" s="10">
        <v>26</v>
      </c>
      <c r="Q35" s="10">
        <v>26</v>
      </c>
      <c r="R35" s="10">
        <v>26</v>
      </c>
    </row>
    <row r="36" spans="1:18" ht="16.8" thickBot="1" x14ac:dyDescent="0.35">
      <c r="A36" s="96">
        <v>1000</v>
      </c>
      <c r="B36" s="98">
        <v>1250</v>
      </c>
      <c r="C36" s="87"/>
      <c r="D36" s="87"/>
      <c r="E36" s="87"/>
      <c r="F36" s="87"/>
      <c r="G36" s="87"/>
      <c r="H36" s="87"/>
      <c r="I36" s="87"/>
      <c r="J36" s="87"/>
      <c r="K36" s="10">
        <v>52</v>
      </c>
      <c r="L36" s="10">
        <v>61</v>
      </c>
      <c r="M36" s="10">
        <v>75</v>
      </c>
      <c r="N36" s="8">
        <v>94</v>
      </c>
      <c r="O36" s="8">
        <v>133</v>
      </c>
      <c r="P36" s="8">
        <v>193</v>
      </c>
      <c r="Q36" s="10">
        <f>(260)+28</f>
        <v>288</v>
      </c>
      <c r="R36" s="10">
        <f>(420)+28</f>
        <v>448</v>
      </c>
    </row>
    <row r="37" spans="1:18" ht="16.8" thickBot="1" x14ac:dyDescent="0.35">
      <c r="A37" s="97"/>
      <c r="B37" s="99"/>
      <c r="C37" s="88"/>
      <c r="D37" s="88"/>
      <c r="E37" s="88"/>
      <c r="F37" s="88"/>
      <c r="G37" s="88"/>
      <c r="H37" s="88"/>
      <c r="I37" s="88"/>
      <c r="J37" s="88"/>
      <c r="K37" s="10">
        <v>28</v>
      </c>
      <c r="L37" s="10">
        <v>28</v>
      </c>
      <c r="M37" s="10">
        <v>28</v>
      </c>
      <c r="N37" s="10">
        <v>28</v>
      </c>
      <c r="O37" s="10">
        <v>28</v>
      </c>
      <c r="P37" s="10">
        <v>28</v>
      </c>
      <c r="Q37" s="10">
        <v>28</v>
      </c>
      <c r="R37" s="10">
        <v>28</v>
      </c>
    </row>
    <row r="38" spans="1:18" ht="16.8" thickBot="1" x14ac:dyDescent="0.35">
      <c r="A38" s="96">
        <v>1250</v>
      </c>
      <c r="B38" s="100">
        <v>1600</v>
      </c>
      <c r="C38" s="87"/>
      <c r="D38" s="87"/>
      <c r="E38" s="87"/>
      <c r="F38" s="87"/>
      <c r="G38" s="87"/>
      <c r="H38" s="87"/>
      <c r="I38" s="87"/>
      <c r="J38" s="87"/>
      <c r="K38" s="10">
        <v>59</v>
      </c>
      <c r="L38" s="10">
        <v>69</v>
      </c>
      <c r="M38" s="10">
        <v>85</v>
      </c>
      <c r="N38" s="8">
        <v>108</v>
      </c>
      <c r="O38" s="8">
        <v>155</v>
      </c>
      <c r="P38" s="8">
        <v>225</v>
      </c>
      <c r="Q38" s="10">
        <f>(310)+30</f>
        <v>340</v>
      </c>
      <c r="R38" s="10">
        <f>(500)+30</f>
        <v>530</v>
      </c>
    </row>
    <row r="39" spans="1:18" ht="16.8" thickBot="1" x14ac:dyDescent="0.35">
      <c r="A39" s="97"/>
      <c r="B39" s="101"/>
      <c r="C39" s="88"/>
      <c r="D39" s="88"/>
      <c r="E39" s="88"/>
      <c r="F39" s="88"/>
      <c r="G39" s="88"/>
      <c r="H39" s="88"/>
      <c r="I39" s="88"/>
      <c r="J39" s="88"/>
      <c r="K39" s="10">
        <v>30</v>
      </c>
      <c r="L39" s="10">
        <v>30</v>
      </c>
      <c r="M39" s="10">
        <v>30</v>
      </c>
      <c r="N39" s="10">
        <v>30</v>
      </c>
      <c r="O39" s="10">
        <v>30</v>
      </c>
      <c r="P39" s="10">
        <v>30</v>
      </c>
      <c r="Q39" s="10">
        <v>30</v>
      </c>
      <c r="R39" s="10">
        <v>30</v>
      </c>
    </row>
    <row r="40" spans="1:18" ht="16.8" thickBot="1" x14ac:dyDescent="0.35">
      <c r="A40" s="96">
        <v>1600</v>
      </c>
      <c r="B40" s="98">
        <v>2000</v>
      </c>
      <c r="C40" s="87"/>
      <c r="D40" s="87"/>
      <c r="E40" s="87"/>
      <c r="F40" s="87"/>
      <c r="G40" s="87"/>
      <c r="H40" s="87"/>
      <c r="I40" s="87"/>
      <c r="J40" s="87"/>
      <c r="K40" s="10">
        <v>67</v>
      </c>
      <c r="L40" s="10">
        <v>78</v>
      </c>
      <c r="M40" s="10">
        <v>97</v>
      </c>
      <c r="N40" s="8">
        <v>124</v>
      </c>
      <c r="O40" s="8">
        <v>182</v>
      </c>
      <c r="P40" s="8">
        <v>262</v>
      </c>
      <c r="Q40" s="10">
        <v>402</v>
      </c>
      <c r="R40" s="10">
        <v>632</v>
      </c>
    </row>
    <row r="41" spans="1:18" ht="16.8" thickBot="1" x14ac:dyDescent="0.35">
      <c r="A41" s="97"/>
      <c r="B41" s="99"/>
      <c r="C41" s="88"/>
      <c r="D41" s="88"/>
      <c r="E41" s="88"/>
      <c r="F41" s="88"/>
      <c r="G41" s="88"/>
      <c r="H41" s="88"/>
      <c r="I41" s="88"/>
      <c r="J41" s="88"/>
      <c r="K41" s="10">
        <v>32</v>
      </c>
      <c r="L41" s="10">
        <v>32</v>
      </c>
      <c r="M41" s="10">
        <v>32</v>
      </c>
      <c r="N41" s="10">
        <v>32</v>
      </c>
      <c r="O41" s="10">
        <v>32</v>
      </c>
      <c r="P41" s="10">
        <v>32</v>
      </c>
      <c r="Q41" s="10">
        <v>32</v>
      </c>
      <c r="R41" s="10">
        <v>32</v>
      </c>
    </row>
    <row r="42" spans="1:18" ht="16.8" thickBot="1" x14ac:dyDescent="0.35">
      <c r="A42" s="96">
        <v>2000</v>
      </c>
      <c r="B42" s="98">
        <v>2500</v>
      </c>
      <c r="C42" s="87"/>
      <c r="D42" s="87"/>
      <c r="E42" s="87"/>
      <c r="F42" s="87"/>
      <c r="G42" s="87"/>
      <c r="H42" s="87"/>
      <c r="I42" s="87"/>
      <c r="J42" s="87"/>
      <c r="K42" s="10">
        <v>75</v>
      </c>
      <c r="L42" s="10">
        <v>89</v>
      </c>
      <c r="M42" s="10">
        <v>112</v>
      </c>
      <c r="N42" s="8">
        <v>144</v>
      </c>
      <c r="O42" s="8">
        <v>209</v>
      </c>
      <c r="P42" s="8">
        <v>314</v>
      </c>
      <c r="Q42" s="10">
        <v>474</v>
      </c>
      <c r="R42" s="10">
        <v>734</v>
      </c>
    </row>
    <row r="43" spans="1:18" ht="16.8" thickBot="1" x14ac:dyDescent="0.35">
      <c r="A43" s="97"/>
      <c r="B43" s="99"/>
      <c r="C43" s="88"/>
      <c r="D43" s="88"/>
      <c r="E43" s="88"/>
      <c r="F43" s="88"/>
      <c r="G43" s="88"/>
      <c r="H43" s="88"/>
      <c r="I43" s="88"/>
      <c r="J43" s="88"/>
      <c r="K43" s="10">
        <v>34</v>
      </c>
      <c r="L43" s="10">
        <v>34</v>
      </c>
      <c r="M43" s="10">
        <v>34</v>
      </c>
      <c r="N43" s="10">
        <v>34</v>
      </c>
      <c r="O43" s="10">
        <v>34</v>
      </c>
      <c r="P43" s="10">
        <v>34</v>
      </c>
      <c r="Q43" s="10">
        <v>34</v>
      </c>
      <c r="R43" s="10">
        <v>34</v>
      </c>
    </row>
    <row r="44" spans="1:18" ht="16.8" thickBot="1" x14ac:dyDescent="0.35">
      <c r="A44" s="96">
        <v>2500</v>
      </c>
      <c r="B44" s="98">
        <v>3150</v>
      </c>
      <c r="C44" s="87"/>
      <c r="D44" s="87"/>
      <c r="E44" s="87"/>
      <c r="F44" s="87"/>
      <c r="G44" s="87"/>
      <c r="H44" s="87"/>
      <c r="I44" s="87"/>
      <c r="J44" s="87"/>
      <c r="K44" s="10">
        <v>88</v>
      </c>
      <c r="L44" s="10">
        <v>106</v>
      </c>
      <c r="M44" s="10">
        <v>134</v>
      </c>
      <c r="N44" s="8">
        <v>173</v>
      </c>
      <c r="O44" s="8">
        <v>248</v>
      </c>
      <c r="P44" s="8">
        <v>368</v>
      </c>
      <c r="Q44" s="10">
        <v>578</v>
      </c>
      <c r="R44" s="10">
        <v>898</v>
      </c>
    </row>
    <row r="45" spans="1:18" ht="16.8" thickBot="1" x14ac:dyDescent="0.35">
      <c r="A45" s="97"/>
      <c r="B45" s="99"/>
      <c r="C45" s="88"/>
      <c r="D45" s="88"/>
      <c r="E45" s="88"/>
      <c r="F45" s="88"/>
      <c r="G45" s="88"/>
      <c r="H45" s="88"/>
      <c r="I45" s="88"/>
      <c r="J45" s="88"/>
      <c r="K45" s="10">
        <v>38</v>
      </c>
      <c r="L45" s="10">
        <v>38</v>
      </c>
      <c r="M45" s="10">
        <v>38</v>
      </c>
      <c r="N45" s="10">
        <v>38</v>
      </c>
      <c r="O45" s="10">
        <v>38</v>
      </c>
      <c r="P45" s="10">
        <v>38</v>
      </c>
      <c r="Q45" s="10">
        <v>38</v>
      </c>
      <c r="R45" s="10">
        <v>38</v>
      </c>
    </row>
    <row r="46" spans="1:18" ht="16.8" thickBot="1" x14ac:dyDescent="0.35">
      <c r="A46" s="89" t="s">
        <v>14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1"/>
    </row>
    <row r="47" spans="1:18" ht="16.8" thickTop="1" x14ac:dyDescent="0.3"/>
  </sheetData>
  <mergeCells count="167">
    <mergeCell ref="A1:B1"/>
    <mergeCell ref="A2:B2"/>
    <mergeCell ref="K1:R2"/>
    <mergeCell ref="A4:A5"/>
    <mergeCell ref="B4:B5"/>
    <mergeCell ref="A14:A15"/>
    <mergeCell ref="B14:B15"/>
    <mergeCell ref="A12:A13"/>
    <mergeCell ref="B12:B13"/>
    <mergeCell ref="A6:A7"/>
    <mergeCell ref="B6:B7"/>
    <mergeCell ref="A8:A9"/>
    <mergeCell ref="B8:B9"/>
    <mergeCell ref="A10:A11"/>
    <mergeCell ref="B10:B11"/>
    <mergeCell ref="I16:I17"/>
    <mergeCell ref="J16:J17"/>
    <mergeCell ref="A16:A17"/>
    <mergeCell ref="B16:B17"/>
    <mergeCell ref="C16:C17"/>
    <mergeCell ref="D16:D17"/>
    <mergeCell ref="E16:E17"/>
    <mergeCell ref="F16:F17"/>
    <mergeCell ref="G16:G17"/>
    <mergeCell ref="H16:H17"/>
    <mergeCell ref="G18:G19"/>
    <mergeCell ref="H18:H19"/>
    <mergeCell ref="I18:I19"/>
    <mergeCell ref="J18:J19"/>
    <mergeCell ref="A18:A19"/>
    <mergeCell ref="B18:B19"/>
    <mergeCell ref="C18:C19"/>
    <mergeCell ref="D18:D19"/>
    <mergeCell ref="E18:E19"/>
    <mergeCell ref="F18:F19"/>
    <mergeCell ref="I20:I21"/>
    <mergeCell ref="J20:J21"/>
    <mergeCell ref="A20:A21"/>
    <mergeCell ref="B20:B21"/>
    <mergeCell ref="C20:C21"/>
    <mergeCell ref="D20:D21"/>
    <mergeCell ref="E20:E21"/>
    <mergeCell ref="F20:F21"/>
    <mergeCell ref="G20:G21"/>
    <mergeCell ref="H20:H21"/>
    <mergeCell ref="G22:G23"/>
    <mergeCell ref="H22:H23"/>
    <mergeCell ref="I22:I23"/>
    <mergeCell ref="J22:J23"/>
    <mergeCell ref="A22:A23"/>
    <mergeCell ref="B22:B23"/>
    <mergeCell ref="C22:C23"/>
    <mergeCell ref="D22:D23"/>
    <mergeCell ref="E22:E23"/>
    <mergeCell ref="F22:F23"/>
    <mergeCell ref="I24:I25"/>
    <mergeCell ref="J24:J25"/>
    <mergeCell ref="A24:A25"/>
    <mergeCell ref="B24:B25"/>
    <mergeCell ref="C24:C25"/>
    <mergeCell ref="D24:D25"/>
    <mergeCell ref="E24:E25"/>
    <mergeCell ref="F24:F25"/>
    <mergeCell ref="G24:G25"/>
    <mergeCell ref="H24:H25"/>
    <mergeCell ref="G26:G27"/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I28:I29"/>
    <mergeCell ref="J28:J29"/>
    <mergeCell ref="A28:A29"/>
    <mergeCell ref="B28:B29"/>
    <mergeCell ref="C28:C29"/>
    <mergeCell ref="D28:D29"/>
    <mergeCell ref="E28:E29"/>
    <mergeCell ref="F28:F29"/>
    <mergeCell ref="G28:G29"/>
    <mergeCell ref="H28:H29"/>
    <mergeCell ref="I30:I31"/>
    <mergeCell ref="J30:J31"/>
    <mergeCell ref="A30:A31"/>
    <mergeCell ref="B30:B31"/>
    <mergeCell ref="C30:C31"/>
    <mergeCell ref="D30:D31"/>
    <mergeCell ref="E30:E31"/>
    <mergeCell ref="F30:F31"/>
    <mergeCell ref="G30:G31"/>
    <mergeCell ref="H30:H31"/>
    <mergeCell ref="J32:J33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G34:G35"/>
    <mergeCell ref="H34:H35"/>
    <mergeCell ref="I34:I35"/>
    <mergeCell ref="J34:J35"/>
    <mergeCell ref="A34:A35"/>
    <mergeCell ref="B34:B35"/>
    <mergeCell ref="C34:C35"/>
    <mergeCell ref="D34:D35"/>
    <mergeCell ref="E34:E35"/>
    <mergeCell ref="F34:F35"/>
    <mergeCell ref="H36:H37"/>
    <mergeCell ref="I36:I37"/>
    <mergeCell ref="J36:J37"/>
    <mergeCell ref="A36:A37"/>
    <mergeCell ref="B36:B37"/>
    <mergeCell ref="C36:C37"/>
    <mergeCell ref="D36:D37"/>
    <mergeCell ref="E36:E37"/>
    <mergeCell ref="F36:F37"/>
    <mergeCell ref="G36:G37"/>
    <mergeCell ref="J38:J39"/>
    <mergeCell ref="A38:A39"/>
    <mergeCell ref="B38:B39"/>
    <mergeCell ref="C38:C39"/>
    <mergeCell ref="D38:D39"/>
    <mergeCell ref="E38:E39"/>
    <mergeCell ref="F38:F39"/>
    <mergeCell ref="G38:G39"/>
    <mergeCell ref="H38:H39"/>
    <mergeCell ref="B40:B41"/>
    <mergeCell ref="C40:C41"/>
    <mergeCell ref="D40:D41"/>
    <mergeCell ref="E40:E41"/>
    <mergeCell ref="F40:F41"/>
    <mergeCell ref="G40:G41"/>
    <mergeCell ref="H40:H41"/>
    <mergeCell ref="I40:I41"/>
    <mergeCell ref="I38:I39"/>
    <mergeCell ref="A46:R46"/>
    <mergeCell ref="C1:J2"/>
    <mergeCell ref="H44:H45"/>
    <mergeCell ref="I44:I45"/>
    <mergeCell ref="J44:J45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A42:A43"/>
    <mergeCell ref="B42:B43"/>
    <mergeCell ref="C42:C43"/>
    <mergeCell ref="D42:D43"/>
    <mergeCell ref="E42:E43"/>
    <mergeCell ref="F42:F43"/>
    <mergeCell ref="J40:J41"/>
    <mergeCell ref="A40:A4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F4325-1B5B-4EF3-88D9-4434C82CB685}">
  <dimension ref="A1:T48"/>
  <sheetViews>
    <sheetView topLeftCell="A21" zoomScaleNormal="100" workbookViewId="0">
      <selection activeCell="V6" sqref="V6"/>
    </sheetView>
  </sheetViews>
  <sheetFormatPr defaultRowHeight="16.2" x14ac:dyDescent="0.3"/>
  <sheetData>
    <row r="1" spans="1:20" ht="17.399999999999999" thickTop="1" thickBot="1" x14ac:dyDescent="0.35">
      <c r="A1" s="102" t="s">
        <v>6</v>
      </c>
      <c r="B1" s="103"/>
      <c r="C1" s="116" t="s">
        <v>19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/>
    </row>
    <row r="2" spans="1:20" ht="16.8" thickBot="1" x14ac:dyDescent="0.35">
      <c r="A2" s="85" t="s">
        <v>1</v>
      </c>
      <c r="B2" s="104"/>
      <c r="C2" s="20">
        <v>1</v>
      </c>
      <c r="D2" s="20">
        <v>2</v>
      </c>
      <c r="E2" s="20">
        <v>3</v>
      </c>
      <c r="F2" s="20">
        <v>4</v>
      </c>
      <c r="G2" s="20">
        <v>5</v>
      </c>
      <c r="H2" s="20">
        <v>6</v>
      </c>
      <c r="I2" s="20">
        <v>7</v>
      </c>
      <c r="J2" s="20">
        <v>8</v>
      </c>
      <c r="K2" s="20">
        <v>9</v>
      </c>
      <c r="L2" s="23">
        <v>10</v>
      </c>
      <c r="M2" s="23">
        <v>11</v>
      </c>
      <c r="N2" s="20">
        <v>12</v>
      </c>
      <c r="O2" s="23">
        <v>13</v>
      </c>
      <c r="P2" s="23" t="s">
        <v>22</v>
      </c>
      <c r="Q2" s="23" t="s">
        <v>23</v>
      </c>
      <c r="R2" s="23" t="s">
        <v>24</v>
      </c>
      <c r="S2" s="23" t="s">
        <v>25</v>
      </c>
      <c r="T2" s="25" t="s">
        <v>26</v>
      </c>
    </row>
    <row r="3" spans="1:20" ht="16.2" customHeight="1" x14ac:dyDescent="0.3">
      <c r="A3" s="119" t="s">
        <v>3</v>
      </c>
      <c r="B3" s="121" t="s">
        <v>4</v>
      </c>
      <c r="C3" s="110" t="s">
        <v>28</v>
      </c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2"/>
    </row>
    <row r="4" spans="1:20" ht="16.8" thickBot="1" x14ac:dyDescent="0.35">
      <c r="A4" s="120"/>
      <c r="B4" s="122"/>
      <c r="C4" s="113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5"/>
    </row>
    <row r="5" spans="1:20" x14ac:dyDescent="0.3">
      <c r="A5" s="105" t="s">
        <v>5</v>
      </c>
      <c r="B5" s="100" t="s">
        <v>21</v>
      </c>
      <c r="C5" s="31">
        <v>0.8</v>
      </c>
      <c r="D5" s="31">
        <v>1.2</v>
      </c>
      <c r="E5" s="31">
        <v>2</v>
      </c>
      <c r="F5" s="31">
        <v>3</v>
      </c>
      <c r="G5" s="31">
        <v>4</v>
      </c>
      <c r="H5" s="31">
        <v>6</v>
      </c>
      <c r="I5" s="31">
        <v>10</v>
      </c>
      <c r="J5" s="31">
        <v>14</v>
      </c>
      <c r="K5" s="31">
        <v>25</v>
      </c>
      <c r="L5" s="31">
        <v>40</v>
      </c>
      <c r="M5" s="31">
        <v>60</v>
      </c>
      <c r="N5" s="31">
        <f>0.1*(1000)</f>
        <v>100</v>
      </c>
      <c r="O5" s="31">
        <f>0.14*(1000)</f>
        <v>140</v>
      </c>
      <c r="P5" s="31">
        <f>0.25*(1000)</f>
        <v>250</v>
      </c>
      <c r="Q5" s="31">
        <f>0.4*(1000)</f>
        <v>400</v>
      </c>
      <c r="R5" s="31">
        <f>0.6*(1000)</f>
        <v>600</v>
      </c>
      <c r="S5" s="31">
        <v>1000</v>
      </c>
      <c r="T5" s="31">
        <v>1400</v>
      </c>
    </row>
    <row r="6" spans="1:20" ht="16.8" thickBot="1" x14ac:dyDescent="0.35">
      <c r="A6" s="106"/>
      <c r="B6" s="101"/>
      <c r="C6" s="34">
        <v>0</v>
      </c>
      <c r="D6" s="34">
        <v>0</v>
      </c>
      <c r="E6" s="34">
        <v>0</v>
      </c>
      <c r="F6" s="34">
        <v>0</v>
      </c>
      <c r="G6" s="34">
        <v>0</v>
      </c>
      <c r="H6" s="34">
        <v>0</v>
      </c>
      <c r="I6" s="34">
        <v>0</v>
      </c>
      <c r="J6" s="34">
        <v>0</v>
      </c>
      <c r="K6" s="34">
        <v>0</v>
      </c>
      <c r="L6" s="34">
        <v>0</v>
      </c>
      <c r="M6" s="34">
        <v>0</v>
      </c>
      <c r="N6" s="34">
        <f t="shared" ref="N6:T6" si="0">0*(1000)</f>
        <v>0</v>
      </c>
      <c r="O6" s="34">
        <f t="shared" si="0"/>
        <v>0</v>
      </c>
      <c r="P6" s="34">
        <f t="shared" si="0"/>
        <v>0</v>
      </c>
      <c r="Q6" s="34">
        <f t="shared" si="0"/>
        <v>0</v>
      </c>
      <c r="R6" s="34">
        <f t="shared" si="0"/>
        <v>0</v>
      </c>
      <c r="S6" s="34">
        <f t="shared" si="0"/>
        <v>0</v>
      </c>
      <c r="T6" s="34">
        <f t="shared" si="0"/>
        <v>0</v>
      </c>
    </row>
    <row r="7" spans="1:20" x14ac:dyDescent="0.3">
      <c r="A7" s="61">
        <v>3</v>
      </c>
      <c r="B7" s="100">
        <v>6</v>
      </c>
      <c r="C7" s="31">
        <v>1</v>
      </c>
      <c r="D7" s="31">
        <v>1.5</v>
      </c>
      <c r="E7" s="31">
        <v>2.5</v>
      </c>
      <c r="F7" s="31">
        <v>4</v>
      </c>
      <c r="G7" s="31">
        <v>5</v>
      </c>
      <c r="H7" s="31">
        <v>8</v>
      </c>
      <c r="I7" s="31">
        <v>12</v>
      </c>
      <c r="J7" s="31">
        <v>18</v>
      </c>
      <c r="K7" s="31">
        <v>30</v>
      </c>
      <c r="L7" s="31">
        <v>48</v>
      </c>
      <c r="M7" s="31">
        <v>75</v>
      </c>
      <c r="N7" s="31">
        <f>0.12*(1000)</f>
        <v>120</v>
      </c>
      <c r="O7" s="31">
        <f>0.18*(1000)</f>
        <v>180</v>
      </c>
      <c r="P7" s="31">
        <f>0.3*(1000)</f>
        <v>300</v>
      </c>
      <c r="Q7" s="31">
        <f>0.48*(1000)</f>
        <v>480</v>
      </c>
      <c r="R7" s="31">
        <f>0.75*(1000)</f>
        <v>750</v>
      </c>
      <c r="S7" s="31">
        <f>1.2*(1000)</f>
        <v>1200</v>
      </c>
      <c r="T7" s="31">
        <f>1.8*(1000)</f>
        <v>1800</v>
      </c>
    </row>
    <row r="8" spans="1:20" ht="16.8" thickBot="1" x14ac:dyDescent="0.35">
      <c r="A8" s="62"/>
      <c r="B8" s="101"/>
      <c r="C8" s="34">
        <v>0</v>
      </c>
      <c r="D8" s="34">
        <v>0</v>
      </c>
      <c r="E8" s="34">
        <v>0</v>
      </c>
      <c r="F8" s="34">
        <v>0</v>
      </c>
      <c r="G8" s="34">
        <v>0</v>
      </c>
      <c r="H8" s="34">
        <v>0</v>
      </c>
      <c r="I8" s="34">
        <v>0</v>
      </c>
      <c r="J8" s="34">
        <v>0</v>
      </c>
      <c r="K8" s="34">
        <v>0</v>
      </c>
      <c r="L8" s="34">
        <v>0</v>
      </c>
      <c r="M8" s="34">
        <v>0</v>
      </c>
      <c r="N8" s="34">
        <f t="shared" ref="N8:T8" si="1">0*(1000)</f>
        <v>0</v>
      </c>
      <c r="O8" s="34">
        <f t="shared" si="1"/>
        <v>0</v>
      </c>
      <c r="P8" s="34">
        <f t="shared" si="1"/>
        <v>0</v>
      </c>
      <c r="Q8" s="34">
        <f t="shared" si="1"/>
        <v>0</v>
      </c>
      <c r="R8" s="34">
        <f t="shared" si="1"/>
        <v>0</v>
      </c>
      <c r="S8" s="34">
        <f t="shared" si="1"/>
        <v>0</v>
      </c>
      <c r="T8" s="34">
        <f t="shared" si="1"/>
        <v>0</v>
      </c>
    </row>
    <row r="9" spans="1:20" x14ac:dyDescent="0.3">
      <c r="A9" s="61">
        <v>6</v>
      </c>
      <c r="B9" s="100">
        <v>10</v>
      </c>
      <c r="C9" s="31">
        <v>1</v>
      </c>
      <c r="D9" s="31">
        <v>1.5</v>
      </c>
      <c r="E9" s="31">
        <v>2.5</v>
      </c>
      <c r="F9" s="31">
        <v>4</v>
      </c>
      <c r="G9" s="31">
        <v>6</v>
      </c>
      <c r="H9" s="31">
        <v>9</v>
      </c>
      <c r="I9" s="31">
        <v>15</v>
      </c>
      <c r="J9" s="31">
        <v>22</v>
      </c>
      <c r="K9" s="31">
        <v>36</v>
      </c>
      <c r="L9" s="31">
        <v>58</v>
      </c>
      <c r="M9" s="31">
        <v>90</v>
      </c>
      <c r="N9" s="31">
        <f>0.15*(1000)</f>
        <v>150</v>
      </c>
      <c r="O9" s="31">
        <f>0.22*(1000)</f>
        <v>220</v>
      </c>
      <c r="P9" s="31">
        <f>0.36*(1000)</f>
        <v>360</v>
      </c>
      <c r="Q9" s="31">
        <f>0.58*(1000)</f>
        <v>580</v>
      </c>
      <c r="R9" s="31">
        <f>0.9*(1000)</f>
        <v>900</v>
      </c>
      <c r="S9" s="31">
        <f>1.5*(1000)</f>
        <v>1500</v>
      </c>
      <c r="T9" s="31">
        <f>2.2*(1000)</f>
        <v>2200</v>
      </c>
    </row>
    <row r="10" spans="1:20" ht="16.8" thickBot="1" x14ac:dyDescent="0.35">
      <c r="A10" s="62"/>
      <c r="B10" s="101"/>
      <c r="C10" s="34">
        <v>0</v>
      </c>
      <c r="D10" s="34">
        <v>0</v>
      </c>
      <c r="E10" s="34">
        <v>0</v>
      </c>
      <c r="F10" s="34">
        <v>0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f t="shared" ref="N10:T10" si="2">0*(1000)</f>
        <v>0</v>
      </c>
      <c r="O10" s="34">
        <f t="shared" si="2"/>
        <v>0</v>
      </c>
      <c r="P10" s="34">
        <f t="shared" si="2"/>
        <v>0</v>
      </c>
      <c r="Q10" s="34">
        <f t="shared" si="2"/>
        <v>0</v>
      </c>
      <c r="R10" s="34">
        <f t="shared" si="2"/>
        <v>0</v>
      </c>
      <c r="S10" s="34">
        <f t="shared" si="2"/>
        <v>0</v>
      </c>
      <c r="T10" s="34">
        <f t="shared" si="2"/>
        <v>0</v>
      </c>
    </row>
    <row r="11" spans="1:20" x14ac:dyDescent="0.3">
      <c r="A11" s="61">
        <v>10</v>
      </c>
      <c r="B11" s="100">
        <v>18</v>
      </c>
      <c r="C11" s="31">
        <v>1.2</v>
      </c>
      <c r="D11" s="31">
        <v>2</v>
      </c>
      <c r="E11" s="31">
        <v>3</v>
      </c>
      <c r="F11" s="31">
        <v>5</v>
      </c>
      <c r="G11" s="31">
        <v>8</v>
      </c>
      <c r="H11" s="31">
        <v>11</v>
      </c>
      <c r="I11" s="31">
        <v>18</v>
      </c>
      <c r="J11" s="31">
        <v>27</v>
      </c>
      <c r="K11" s="31">
        <v>43</v>
      </c>
      <c r="L11" s="31">
        <v>70</v>
      </c>
      <c r="M11" s="31">
        <v>110</v>
      </c>
      <c r="N11" s="31">
        <f>0.18*(1000)</f>
        <v>180</v>
      </c>
      <c r="O11" s="31">
        <f>0.27*(1000)</f>
        <v>270</v>
      </c>
      <c r="P11" s="31">
        <f>0.43*(1000)</f>
        <v>430</v>
      </c>
      <c r="Q11" s="31">
        <f>0.7*(1000)</f>
        <v>700</v>
      </c>
      <c r="R11" s="31">
        <f>1.1*(1000)</f>
        <v>1100</v>
      </c>
      <c r="S11" s="31">
        <f>1.8*(1000)</f>
        <v>1800</v>
      </c>
      <c r="T11" s="31">
        <f>2.7*(1000)</f>
        <v>2700</v>
      </c>
    </row>
    <row r="12" spans="1:20" ht="16.8" thickBot="1" x14ac:dyDescent="0.35">
      <c r="A12" s="62"/>
      <c r="B12" s="101"/>
      <c r="C12" s="34">
        <v>0</v>
      </c>
      <c r="D12" s="34">
        <v>0</v>
      </c>
      <c r="E12" s="34">
        <v>0</v>
      </c>
      <c r="F12" s="34">
        <v>0</v>
      </c>
      <c r="G12" s="34">
        <v>0</v>
      </c>
      <c r="H12" s="34">
        <v>0</v>
      </c>
      <c r="I12" s="34">
        <v>0</v>
      </c>
      <c r="J12" s="34">
        <v>0</v>
      </c>
      <c r="K12" s="34">
        <v>0</v>
      </c>
      <c r="L12" s="34">
        <v>0</v>
      </c>
      <c r="M12" s="34">
        <v>0</v>
      </c>
      <c r="N12" s="34">
        <f t="shared" ref="N12:T12" si="3">0*(1000)</f>
        <v>0</v>
      </c>
      <c r="O12" s="34">
        <f t="shared" si="3"/>
        <v>0</v>
      </c>
      <c r="P12" s="34">
        <f t="shared" si="3"/>
        <v>0</v>
      </c>
      <c r="Q12" s="34">
        <f t="shared" si="3"/>
        <v>0</v>
      </c>
      <c r="R12" s="34">
        <f t="shared" si="3"/>
        <v>0</v>
      </c>
      <c r="S12" s="34">
        <f t="shared" si="3"/>
        <v>0</v>
      </c>
      <c r="T12" s="34">
        <f t="shared" si="3"/>
        <v>0</v>
      </c>
    </row>
    <row r="13" spans="1:20" x14ac:dyDescent="0.3">
      <c r="A13" s="61">
        <v>18</v>
      </c>
      <c r="B13" s="100">
        <v>30</v>
      </c>
      <c r="C13" s="31">
        <v>1.5</v>
      </c>
      <c r="D13" s="31">
        <v>2.5</v>
      </c>
      <c r="E13" s="31">
        <v>4</v>
      </c>
      <c r="F13" s="31">
        <v>6</v>
      </c>
      <c r="G13" s="31">
        <v>9</v>
      </c>
      <c r="H13" s="31">
        <v>13</v>
      </c>
      <c r="I13" s="31">
        <v>21</v>
      </c>
      <c r="J13" s="31">
        <v>33</v>
      </c>
      <c r="K13" s="31">
        <v>52</v>
      </c>
      <c r="L13" s="31">
        <v>84</v>
      </c>
      <c r="M13" s="31">
        <v>130</v>
      </c>
      <c r="N13" s="31">
        <f>0.21*(1000)</f>
        <v>210</v>
      </c>
      <c r="O13" s="31">
        <f>0.33*(1000)</f>
        <v>330</v>
      </c>
      <c r="P13" s="31">
        <f>0.52*(1000)</f>
        <v>520</v>
      </c>
      <c r="Q13" s="31">
        <f>0.84*(1000)</f>
        <v>840</v>
      </c>
      <c r="R13" s="31">
        <f>1.3*(1000)</f>
        <v>1300</v>
      </c>
      <c r="S13" s="31">
        <f>2.1*(1000)</f>
        <v>2100</v>
      </c>
      <c r="T13" s="31">
        <f>3.3*(1000)</f>
        <v>3300</v>
      </c>
    </row>
    <row r="14" spans="1:20" ht="16.8" thickBot="1" x14ac:dyDescent="0.35">
      <c r="A14" s="62"/>
      <c r="B14" s="101"/>
      <c r="C14" s="34">
        <v>0</v>
      </c>
      <c r="D14" s="34">
        <v>0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f t="shared" ref="N14:T14" si="4">0*(1000)</f>
        <v>0</v>
      </c>
      <c r="O14" s="34">
        <f t="shared" si="4"/>
        <v>0</v>
      </c>
      <c r="P14" s="34">
        <f t="shared" si="4"/>
        <v>0</v>
      </c>
      <c r="Q14" s="34">
        <f t="shared" si="4"/>
        <v>0</v>
      </c>
      <c r="R14" s="34">
        <f t="shared" si="4"/>
        <v>0</v>
      </c>
      <c r="S14" s="34">
        <f t="shared" si="4"/>
        <v>0</v>
      </c>
      <c r="T14" s="34">
        <f t="shared" si="4"/>
        <v>0</v>
      </c>
    </row>
    <row r="15" spans="1:20" x14ac:dyDescent="0.3">
      <c r="A15" s="61">
        <v>30</v>
      </c>
      <c r="B15" s="100">
        <v>50</v>
      </c>
      <c r="C15" s="31">
        <v>1.5</v>
      </c>
      <c r="D15" s="31">
        <v>2.5</v>
      </c>
      <c r="E15" s="31">
        <v>4</v>
      </c>
      <c r="F15" s="31">
        <v>7</v>
      </c>
      <c r="G15" s="31">
        <v>11</v>
      </c>
      <c r="H15" s="31">
        <v>16</v>
      </c>
      <c r="I15" s="31">
        <v>25</v>
      </c>
      <c r="J15" s="31">
        <v>39</v>
      </c>
      <c r="K15" s="31">
        <v>62</v>
      </c>
      <c r="L15" s="31">
        <v>100</v>
      </c>
      <c r="M15" s="31">
        <v>160</v>
      </c>
      <c r="N15" s="31">
        <f>0.25*(1000)</f>
        <v>250</v>
      </c>
      <c r="O15" s="31">
        <f>0.39*(1000)</f>
        <v>390</v>
      </c>
      <c r="P15" s="31">
        <f>0.62*(1000)</f>
        <v>620</v>
      </c>
      <c r="Q15" s="31">
        <f>1*(1000)</f>
        <v>1000</v>
      </c>
      <c r="R15" s="31">
        <f>1.6*(1000)</f>
        <v>1600</v>
      </c>
      <c r="S15" s="31">
        <f>2.5*(1000)</f>
        <v>2500</v>
      </c>
      <c r="T15" s="31">
        <f>3.9*(1000)</f>
        <v>3900</v>
      </c>
    </row>
    <row r="16" spans="1:20" ht="16.8" thickBot="1" x14ac:dyDescent="0.35">
      <c r="A16" s="62"/>
      <c r="B16" s="101"/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f t="shared" ref="N16:T16" si="5">0*(1000)</f>
        <v>0</v>
      </c>
      <c r="O16" s="34">
        <f t="shared" si="5"/>
        <v>0</v>
      </c>
      <c r="P16" s="34">
        <f t="shared" si="5"/>
        <v>0</v>
      </c>
      <c r="Q16" s="34">
        <f t="shared" si="5"/>
        <v>0</v>
      </c>
      <c r="R16" s="34">
        <f t="shared" si="5"/>
        <v>0</v>
      </c>
      <c r="S16" s="34">
        <f t="shared" si="5"/>
        <v>0</v>
      </c>
      <c r="T16" s="34">
        <f t="shared" si="5"/>
        <v>0</v>
      </c>
    </row>
    <row r="17" spans="1:20" x14ac:dyDescent="0.3">
      <c r="A17" s="61">
        <v>50</v>
      </c>
      <c r="B17" s="100">
        <v>80</v>
      </c>
      <c r="C17" s="31">
        <v>2</v>
      </c>
      <c r="D17" s="31">
        <v>3</v>
      </c>
      <c r="E17" s="31">
        <v>5</v>
      </c>
      <c r="F17" s="31">
        <v>8</v>
      </c>
      <c r="G17" s="31">
        <v>13</v>
      </c>
      <c r="H17" s="31">
        <v>19</v>
      </c>
      <c r="I17" s="31">
        <v>30</v>
      </c>
      <c r="J17" s="31">
        <v>46</v>
      </c>
      <c r="K17" s="31">
        <v>74</v>
      </c>
      <c r="L17" s="31">
        <v>120</v>
      </c>
      <c r="M17" s="31">
        <v>190</v>
      </c>
      <c r="N17" s="31">
        <f>0.3*(1000)</f>
        <v>300</v>
      </c>
      <c r="O17" s="31">
        <f>0.46*(1000)</f>
        <v>460</v>
      </c>
      <c r="P17" s="31">
        <f>0.74*(1000)</f>
        <v>740</v>
      </c>
      <c r="Q17" s="31">
        <f>1.2*(1000)</f>
        <v>1200</v>
      </c>
      <c r="R17" s="31">
        <f>1.9*(1000)</f>
        <v>1900</v>
      </c>
      <c r="S17" s="31">
        <f>3*(1000)</f>
        <v>3000</v>
      </c>
      <c r="T17" s="31">
        <f>4.6*(1000)</f>
        <v>4600</v>
      </c>
    </row>
    <row r="18" spans="1:20" ht="16.8" thickBot="1" x14ac:dyDescent="0.35">
      <c r="A18" s="62"/>
      <c r="B18" s="101"/>
      <c r="C18" s="34">
        <v>0</v>
      </c>
      <c r="D18" s="34">
        <v>0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f t="shared" ref="N18:T18" si="6">0*(1000)</f>
        <v>0</v>
      </c>
      <c r="O18" s="34">
        <f t="shared" si="6"/>
        <v>0</v>
      </c>
      <c r="P18" s="34">
        <f t="shared" si="6"/>
        <v>0</v>
      </c>
      <c r="Q18" s="34">
        <f t="shared" si="6"/>
        <v>0</v>
      </c>
      <c r="R18" s="34">
        <f t="shared" si="6"/>
        <v>0</v>
      </c>
      <c r="S18" s="34">
        <f t="shared" si="6"/>
        <v>0</v>
      </c>
      <c r="T18" s="34">
        <f t="shared" si="6"/>
        <v>0</v>
      </c>
    </row>
    <row r="19" spans="1:20" x14ac:dyDescent="0.3">
      <c r="A19" s="61">
        <v>80</v>
      </c>
      <c r="B19" s="100">
        <v>120</v>
      </c>
      <c r="C19" s="31">
        <v>2.5</v>
      </c>
      <c r="D19" s="31">
        <v>4</v>
      </c>
      <c r="E19" s="31">
        <v>6</v>
      </c>
      <c r="F19" s="31">
        <v>10</v>
      </c>
      <c r="G19" s="31">
        <v>15</v>
      </c>
      <c r="H19" s="31">
        <v>22</v>
      </c>
      <c r="I19" s="31">
        <v>35</v>
      </c>
      <c r="J19" s="31">
        <v>54</v>
      </c>
      <c r="K19" s="31">
        <v>87</v>
      </c>
      <c r="L19" s="31">
        <v>140</v>
      </c>
      <c r="M19" s="31">
        <v>220</v>
      </c>
      <c r="N19" s="31">
        <f>0.35*(1000)</f>
        <v>350</v>
      </c>
      <c r="O19" s="31">
        <f>0.54*(1000)</f>
        <v>540</v>
      </c>
      <c r="P19" s="31">
        <f>0.87*(1000)</f>
        <v>870</v>
      </c>
      <c r="Q19" s="31">
        <f>1.4*(1000)</f>
        <v>1400</v>
      </c>
      <c r="R19" s="31">
        <f>2.2*(1000)</f>
        <v>2200</v>
      </c>
      <c r="S19" s="31">
        <f>3.5*(1000)</f>
        <v>3500</v>
      </c>
      <c r="T19" s="31">
        <f>5.4*(1000)</f>
        <v>5400</v>
      </c>
    </row>
    <row r="20" spans="1:20" ht="16.8" thickBot="1" x14ac:dyDescent="0.35">
      <c r="A20" s="62"/>
      <c r="B20" s="101"/>
      <c r="C20" s="34">
        <v>0</v>
      </c>
      <c r="D20" s="34">
        <v>0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f t="shared" ref="N20:T20" si="7">0*(1000)</f>
        <v>0</v>
      </c>
      <c r="O20" s="34">
        <f t="shared" si="7"/>
        <v>0</v>
      </c>
      <c r="P20" s="34">
        <f t="shared" si="7"/>
        <v>0</v>
      </c>
      <c r="Q20" s="34">
        <f t="shared" si="7"/>
        <v>0</v>
      </c>
      <c r="R20" s="34">
        <f t="shared" si="7"/>
        <v>0</v>
      </c>
      <c r="S20" s="34">
        <f t="shared" si="7"/>
        <v>0</v>
      </c>
      <c r="T20" s="34">
        <f t="shared" si="7"/>
        <v>0</v>
      </c>
    </row>
    <row r="21" spans="1:20" x14ac:dyDescent="0.3">
      <c r="A21" s="61">
        <v>120</v>
      </c>
      <c r="B21" s="100">
        <v>180</v>
      </c>
      <c r="C21" s="31">
        <v>3.5</v>
      </c>
      <c r="D21" s="31">
        <v>5</v>
      </c>
      <c r="E21" s="31">
        <v>8</v>
      </c>
      <c r="F21" s="31">
        <v>12</v>
      </c>
      <c r="G21" s="31">
        <v>18</v>
      </c>
      <c r="H21" s="31">
        <v>25</v>
      </c>
      <c r="I21" s="31">
        <v>40</v>
      </c>
      <c r="J21" s="31">
        <v>63</v>
      </c>
      <c r="K21" s="31">
        <v>100</v>
      </c>
      <c r="L21" s="31">
        <v>160</v>
      </c>
      <c r="M21" s="31">
        <v>250</v>
      </c>
      <c r="N21" s="31">
        <f>0.4*(1000)</f>
        <v>400</v>
      </c>
      <c r="O21" s="31">
        <f>0.63*(1000)</f>
        <v>630</v>
      </c>
      <c r="P21" s="31">
        <f>1*(1000)</f>
        <v>1000</v>
      </c>
      <c r="Q21" s="31">
        <f>1.6*(1000)</f>
        <v>1600</v>
      </c>
      <c r="R21" s="31">
        <f>2.5*(1000)</f>
        <v>2500</v>
      </c>
      <c r="S21" s="31">
        <f>4*(1000)</f>
        <v>4000</v>
      </c>
      <c r="T21" s="31">
        <f>6.3*(1000)</f>
        <v>6300</v>
      </c>
    </row>
    <row r="22" spans="1:20" ht="16.8" thickBot="1" x14ac:dyDescent="0.35">
      <c r="A22" s="62"/>
      <c r="B22" s="101"/>
      <c r="C22" s="34">
        <v>0</v>
      </c>
      <c r="D22" s="34">
        <v>0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f t="shared" ref="N22:T22" si="8">0*(1000)</f>
        <v>0</v>
      </c>
      <c r="O22" s="34">
        <f t="shared" si="8"/>
        <v>0</v>
      </c>
      <c r="P22" s="34">
        <f t="shared" si="8"/>
        <v>0</v>
      </c>
      <c r="Q22" s="34">
        <f t="shared" si="8"/>
        <v>0</v>
      </c>
      <c r="R22" s="34">
        <f t="shared" si="8"/>
        <v>0</v>
      </c>
      <c r="S22" s="34">
        <f t="shared" si="8"/>
        <v>0</v>
      </c>
      <c r="T22" s="34">
        <f t="shared" si="8"/>
        <v>0</v>
      </c>
    </row>
    <row r="23" spans="1:20" x14ac:dyDescent="0.3">
      <c r="A23" s="61">
        <v>180</v>
      </c>
      <c r="B23" s="100">
        <v>250</v>
      </c>
      <c r="C23" s="31">
        <v>4.5</v>
      </c>
      <c r="D23" s="31">
        <v>7</v>
      </c>
      <c r="E23" s="31">
        <v>10</v>
      </c>
      <c r="F23" s="31">
        <v>14</v>
      </c>
      <c r="G23" s="31">
        <v>20</v>
      </c>
      <c r="H23" s="31">
        <v>29</v>
      </c>
      <c r="I23" s="31">
        <v>46</v>
      </c>
      <c r="J23" s="31">
        <v>72</v>
      </c>
      <c r="K23" s="31">
        <v>115</v>
      </c>
      <c r="L23" s="31">
        <v>185</v>
      </c>
      <c r="M23" s="31">
        <v>290</v>
      </c>
      <c r="N23" s="31">
        <f>0.46*(1000)</f>
        <v>460</v>
      </c>
      <c r="O23" s="31">
        <f>0.72*(1000)</f>
        <v>720</v>
      </c>
      <c r="P23" s="31">
        <f>1.15*(1000)</f>
        <v>1150</v>
      </c>
      <c r="Q23" s="31">
        <f>1.85*(1000)</f>
        <v>1850</v>
      </c>
      <c r="R23" s="31">
        <f>2.9*(1000)</f>
        <v>2900</v>
      </c>
      <c r="S23" s="31">
        <f>4.6*(1000)</f>
        <v>4600</v>
      </c>
      <c r="T23" s="31">
        <f>7.2*(1000)</f>
        <v>7200</v>
      </c>
    </row>
    <row r="24" spans="1:20" ht="16.8" thickBot="1" x14ac:dyDescent="0.35">
      <c r="A24" s="62"/>
      <c r="B24" s="101"/>
      <c r="C24" s="34">
        <v>0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f t="shared" ref="N24:T24" si="9">0*(1000)</f>
        <v>0</v>
      </c>
      <c r="O24" s="34">
        <f t="shared" si="9"/>
        <v>0</v>
      </c>
      <c r="P24" s="34">
        <f t="shared" si="9"/>
        <v>0</v>
      </c>
      <c r="Q24" s="34">
        <f t="shared" si="9"/>
        <v>0</v>
      </c>
      <c r="R24" s="34">
        <f t="shared" si="9"/>
        <v>0</v>
      </c>
      <c r="S24" s="34">
        <f t="shared" si="9"/>
        <v>0</v>
      </c>
      <c r="T24" s="34">
        <f t="shared" si="9"/>
        <v>0</v>
      </c>
    </row>
    <row r="25" spans="1:20" x14ac:dyDescent="0.3">
      <c r="A25" s="61">
        <v>250</v>
      </c>
      <c r="B25" s="100">
        <v>315</v>
      </c>
      <c r="C25" s="31">
        <v>6</v>
      </c>
      <c r="D25" s="31">
        <v>8</v>
      </c>
      <c r="E25" s="31">
        <v>12</v>
      </c>
      <c r="F25" s="31">
        <v>16</v>
      </c>
      <c r="G25" s="31">
        <v>23</v>
      </c>
      <c r="H25" s="31">
        <v>32</v>
      </c>
      <c r="I25" s="31">
        <v>52</v>
      </c>
      <c r="J25" s="31">
        <v>81</v>
      </c>
      <c r="K25" s="31">
        <v>130</v>
      </c>
      <c r="L25" s="31">
        <v>210</v>
      </c>
      <c r="M25" s="31">
        <v>320</v>
      </c>
      <c r="N25" s="31">
        <f>0.52*(1000)</f>
        <v>520</v>
      </c>
      <c r="O25" s="31">
        <f>0.81*(1000)</f>
        <v>810</v>
      </c>
      <c r="P25" s="31">
        <f>1.3*(1000)</f>
        <v>1300</v>
      </c>
      <c r="Q25" s="31">
        <f>2.1*(1000)</f>
        <v>2100</v>
      </c>
      <c r="R25" s="31">
        <f>3.2*(1000)</f>
        <v>3200</v>
      </c>
      <c r="S25" s="31">
        <f>5.2*(1000)</f>
        <v>5200</v>
      </c>
      <c r="T25" s="31">
        <f>8.1*(1000)</f>
        <v>8100</v>
      </c>
    </row>
    <row r="26" spans="1:20" ht="16.8" thickBot="1" x14ac:dyDescent="0.35">
      <c r="A26" s="62"/>
      <c r="B26" s="101"/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0</v>
      </c>
      <c r="N26" s="34">
        <f t="shared" ref="N26:T26" si="10">0*(1000)</f>
        <v>0</v>
      </c>
      <c r="O26" s="34">
        <f t="shared" si="10"/>
        <v>0</v>
      </c>
      <c r="P26" s="34">
        <f t="shared" si="10"/>
        <v>0</v>
      </c>
      <c r="Q26" s="34">
        <f t="shared" si="10"/>
        <v>0</v>
      </c>
      <c r="R26" s="34">
        <f t="shared" si="10"/>
        <v>0</v>
      </c>
      <c r="S26" s="34">
        <f t="shared" si="10"/>
        <v>0</v>
      </c>
      <c r="T26" s="34">
        <f t="shared" si="10"/>
        <v>0</v>
      </c>
    </row>
    <row r="27" spans="1:20" x14ac:dyDescent="0.3">
      <c r="A27" s="61">
        <v>315</v>
      </c>
      <c r="B27" s="100">
        <v>400</v>
      </c>
      <c r="C27" s="31">
        <v>7</v>
      </c>
      <c r="D27" s="31">
        <v>9</v>
      </c>
      <c r="E27" s="31">
        <v>13</v>
      </c>
      <c r="F27" s="31">
        <v>18</v>
      </c>
      <c r="G27" s="31">
        <v>25</v>
      </c>
      <c r="H27" s="31">
        <v>36</v>
      </c>
      <c r="I27" s="31">
        <v>57</v>
      </c>
      <c r="J27" s="31">
        <v>89</v>
      </c>
      <c r="K27" s="31">
        <v>140</v>
      </c>
      <c r="L27" s="31">
        <v>230</v>
      </c>
      <c r="M27" s="31">
        <v>360</v>
      </c>
      <c r="N27" s="31">
        <f>0.57*(1000)</f>
        <v>570</v>
      </c>
      <c r="O27" s="31">
        <f>0.89*(1000)</f>
        <v>890</v>
      </c>
      <c r="P27" s="31">
        <f>1.4*(1000)</f>
        <v>1400</v>
      </c>
      <c r="Q27" s="31">
        <f>2.3*(1000)</f>
        <v>2300</v>
      </c>
      <c r="R27" s="31">
        <f>3.6*(1000)</f>
        <v>3600</v>
      </c>
      <c r="S27" s="31">
        <f>5.7*(1000)</f>
        <v>5700</v>
      </c>
      <c r="T27" s="31">
        <f>8.9*(1000)</f>
        <v>8900</v>
      </c>
    </row>
    <row r="28" spans="1:20" ht="16.8" thickBot="1" x14ac:dyDescent="0.35">
      <c r="A28" s="62"/>
      <c r="B28" s="101"/>
      <c r="C28" s="34">
        <v>0</v>
      </c>
      <c r="D28" s="34">
        <v>0</v>
      </c>
      <c r="E28" s="34">
        <v>0</v>
      </c>
      <c r="F28" s="34">
        <v>0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f t="shared" ref="N28:T28" si="11">0*(1000)</f>
        <v>0</v>
      </c>
      <c r="O28" s="34">
        <f t="shared" si="11"/>
        <v>0</v>
      </c>
      <c r="P28" s="34">
        <f t="shared" si="11"/>
        <v>0</v>
      </c>
      <c r="Q28" s="34">
        <f t="shared" si="11"/>
        <v>0</v>
      </c>
      <c r="R28" s="34">
        <f t="shared" si="11"/>
        <v>0</v>
      </c>
      <c r="S28" s="34">
        <f t="shared" si="11"/>
        <v>0</v>
      </c>
      <c r="T28" s="34">
        <f t="shared" si="11"/>
        <v>0</v>
      </c>
    </row>
    <row r="29" spans="1:20" x14ac:dyDescent="0.3">
      <c r="A29" s="61">
        <v>400</v>
      </c>
      <c r="B29" s="100">
        <v>500</v>
      </c>
      <c r="C29" s="31">
        <v>8</v>
      </c>
      <c r="D29" s="31">
        <v>10</v>
      </c>
      <c r="E29" s="31">
        <v>15</v>
      </c>
      <c r="F29" s="31">
        <v>20</v>
      </c>
      <c r="G29" s="31">
        <v>27</v>
      </c>
      <c r="H29" s="31">
        <v>40</v>
      </c>
      <c r="I29" s="31">
        <v>63</v>
      </c>
      <c r="J29" s="31">
        <v>97</v>
      </c>
      <c r="K29" s="31">
        <v>155</v>
      </c>
      <c r="L29" s="31">
        <v>250</v>
      </c>
      <c r="M29" s="31">
        <v>400</v>
      </c>
      <c r="N29" s="31">
        <f>0.63*(1000)</f>
        <v>630</v>
      </c>
      <c r="O29" s="31">
        <f>0.97*(1000)</f>
        <v>970</v>
      </c>
      <c r="P29" s="31">
        <f>1.55*(1000)</f>
        <v>1550</v>
      </c>
      <c r="Q29" s="31">
        <f>2.5*(1000)</f>
        <v>2500</v>
      </c>
      <c r="R29" s="31">
        <f>4*(1000)</f>
        <v>4000</v>
      </c>
      <c r="S29" s="31">
        <f>6.3*(1000)</f>
        <v>6300</v>
      </c>
      <c r="T29" s="31">
        <f>9.7*(1000)</f>
        <v>9700</v>
      </c>
    </row>
    <row r="30" spans="1:20" ht="16.8" thickBot="1" x14ac:dyDescent="0.35">
      <c r="A30" s="62"/>
      <c r="B30" s="101"/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f t="shared" ref="N30:T30" si="12">0*(1000)</f>
        <v>0</v>
      </c>
      <c r="O30" s="34">
        <f t="shared" si="12"/>
        <v>0</v>
      </c>
      <c r="P30" s="34">
        <f t="shared" si="12"/>
        <v>0</v>
      </c>
      <c r="Q30" s="34">
        <f t="shared" si="12"/>
        <v>0</v>
      </c>
      <c r="R30" s="34">
        <f t="shared" si="12"/>
        <v>0</v>
      </c>
      <c r="S30" s="34">
        <f t="shared" si="12"/>
        <v>0</v>
      </c>
      <c r="T30" s="34">
        <f t="shared" si="12"/>
        <v>0</v>
      </c>
    </row>
    <row r="31" spans="1:20" x14ac:dyDescent="0.3">
      <c r="A31" s="61">
        <v>500</v>
      </c>
      <c r="B31" s="100">
        <v>630</v>
      </c>
      <c r="C31" s="31">
        <v>9</v>
      </c>
      <c r="D31" s="31">
        <v>11</v>
      </c>
      <c r="E31" s="31">
        <v>16</v>
      </c>
      <c r="F31" s="31">
        <v>22</v>
      </c>
      <c r="G31" s="31">
        <v>32</v>
      </c>
      <c r="H31" s="31">
        <v>44</v>
      </c>
      <c r="I31" s="31">
        <v>70</v>
      </c>
      <c r="J31" s="31">
        <v>110</v>
      </c>
      <c r="K31" s="31">
        <v>175</v>
      </c>
      <c r="L31" s="31">
        <v>280</v>
      </c>
      <c r="M31" s="31">
        <v>440</v>
      </c>
      <c r="N31" s="31">
        <f>0.7*(1000)</f>
        <v>700</v>
      </c>
      <c r="O31" s="31">
        <f>1.1*(1000)</f>
        <v>1100</v>
      </c>
      <c r="P31" s="31">
        <f>1.75*(1000)</f>
        <v>1750</v>
      </c>
      <c r="Q31" s="31">
        <f>2.8*(1000)</f>
        <v>2800</v>
      </c>
      <c r="R31" s="31">
        <f>4.4*(1000)</f>
        <v>4400</v>
      </c>
      <c r="S31" s="31">
        <f>7*(1000)</f>
        <v>7000</v>
      </c>
      <c r="T31" s="31">
        <f>11*(1000)</f>
        <v>11000</v>
      </c>
    </row>
    <row r="32" spans="1:20" ht="16.8" thickBot="1" x14ac:dyDescent="0.35">
      <c r="A32" s="62"/>
      <c r="B32" s="101"/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34">
        <v>0</v>
      </c>
      <c r="N32" s="34">
        <f t="shared" ref="N32:T32" si="13">0*(1000)</f>
        <v>0</v>
      </c>
      <c r="O32" s="34">
        <f t="shared" si="13"/>
        <v>0</v>
      </c>
      <c r="P32" s="34">
        <f t="shared" si="13"/>
        <v>0</v>
      </c>
      <c r="Q32" s="34">
        <f t="shared" si="13"/>
        <v>0</v>
      </c>
      <c r="R32" s="34">
        <f t="shared" si="13"/>
        <v>0</v>
      </c>
      <c r="S32" s="34">
        <f t="shared" si="13"/>
        <v>0</v>
      </c>
      <c r="T32" s="34">
        <f t="shared" si="13"/>
        <v>0</v>
      </c>
    </row>
    <row r="33" spans="1:20" x14ac:dyDescent="0.3">
      <c r="A33" s="61">
        <v>630</v>
      </c>
      <c r="B33" s="100">
        <v>800</v>
      </c>
      <c r="C33" s="31">
        <v>10</v>
      </c>
      <c r="D33" s="31">
        <v>13</v>
      </c>
      <c r="E33" s="31">
        <v>18</v>
      </c>
      <c r="F33" s="31">
        <v>25</v>
      </c>
      <c r="G33" s="31">
        <v>36</v>
      </c>
      <c r="H33" s="31">
        <v>50</v>
      </c>
      <c r="I33" s="31">
        <v>80</v>
      </c>
      <c r="J33" s="31">
        <v>125</v>
      </c>
      <c r="K33" s="31">
        <v>200</v>
      </c>
      <c r="L33" s="31">
        <v>320</v>
      </c>
      <c r="M33" s="31">
        <v>500</v>
      </c>
      <c r="N33" s="31">
        <f>0.8*(1000)</f>
        <v>800</v>
      </c>
      <c r="O33" s="31">
        <f>1.25*(1000)</f>
        <v>1250</v>
      </c>
      <c r="P33" s="31">
        <f>2*(1000)</f>
        <v>2000</v>
      </c>
      <c r="Q33" s="31">
        <f>3.2*(1000)</f>
        <v>3200</v>
      </c>
      <c r="R33" s="31">
        <f>5*(1000)</f>
        <v>5000</v>
      </c>
      <c r="S33" s="31">
        <f>8*(1000)</f>
        <v>8000</v>
      </c>
      <c r="T33" s="31">
        <f>12.5*(1000)</f>
        <v>12500</v>
      </c>
    </row>
    <row r="34" spans="1:20" ht="16.8" thickBot="1" x14ac:dyDescent="0.35">
      <c r="A34" s="62"/>
      <c r="B34" s="101"/>
      <c r="C34" s="34">
        <v>0</v>
      </c>
      <c r="D34" s="34">
        <v>0</v>
      </c>
      <c r="E34" s="34">
        <v>0</v>
      </c>
      <c r="F34" s="34">
        <v>0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f t="shared" ref="N34:T34" si="14">0*(1000)</f>
        <v>0</v>
      </c>
      <c r="O34" s="34">
        <f t="shared" si="14"/>
        <v>0</v>
      </c>
      <c r="P34" s="34">
        <f t="shared" si="14"/>
        <v>0</v>
      </c>
      <c r="Q34" s="34">
        <f t="shared" si="14"/>
        <v>0</v>
      </c>
      <c r="R34" s="34">
        <f t="shared" si="14"/>
        <v>0</v>
      </c>
      <c r="S34" s="34">
        <f t="shared" si="14"/>
        <v>0</v>
      </c>
      <c r="T34" s="34">
        <f t="shared" si="14"/>
        <v>0</v>
      </c>
    </row>
    <row r="35" spans="1:20" x14ac:dyDescent="0.3">
      <c r="A35" s="61">
        <v>800</v>
      </c>
      <c r="B35" s="98">
        <v>1000</v>
      </c>
      <c r="C35" s="31">
        <v>11</v>
      </c>
      <c r="D35" s="31">
        <v>15</v>
      </c>
      <c r="E35" s="31">
        <v>21</v>
      </c>
      <c r="F35" s="31">
        <v>28</v>
      </c>
      <c r="G35" s="31">
        <v>40</v>
      </c>
      <c r="H35" s="31">
        <v>56</v>
      </c>
      <c r="I35" s="31">
        <v>90</v>
      </c>
      <c r="J35" s="31">
        <v>140</v>
      </c>
      <c r="K35" s="31">
        <v>230</v>
      </c>
      <c r="L35" s="31">
        <v>360</v>
      </c>
      <c r="M35" s="31">
        <v>560</v>
      </c>
      <c r="N35" s="31">
        <f>0.9*(1000)</f>
        <v>900</v>
      </c>
      <c r="O35" s="31">
        <f>1.4*(1000)</f>
        <v>1400</v>
      </c>
      <c r="P35" s="31">
        <f>2.3*(1000)</f>
        <v>2300</v>
      </c>
      <c r="Q35" s="31">
        <f>3.6*(1000)</f>
        <v>3600</v>
      </c>
      <c r="R35" s="31">
        <f>5.6*(1000)</f>
        <v>5600</v>
      </c>
      <c r="S35" s="31">
        <f>9*(1000)</f>
        <v>9000</v>
      </c>
      <c r="T35" s="31">
        <f>14*(1000)</f>
        <v>14000</v>
      </c>
    </row>
    <row r="36" spans="1:20" ht="16.8" thickBot="1" x14ac:dyDescent="0.35">
      <c r="A36" s="62"/>
      <c r="B36" s="99"/>
      <c r="C36" s="34">
        <v>0</v>
      </c>
      <c r="D36" s="34">
        <v>0</v>
      </c>
      <c r="E36" s="34">
        <v>0</v>
      </c>
      <c r="F36" s="34">
        <v>0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f t="shared" ref="N36:T36" si="15">0*(1000)</f>
        <v>0</v>
      </c>
      <c r="O36" s="34">
        <f t="shared" si="15"/>
        <v>0</v>
      </c>
      <c r="P36" s="34">
        <f t="shared" si="15"/>
        <v>0</v>
      </c>
      <c r="Q36" s="34">
        <f t="shared" si="15"/>
        <v>0</v>
      </c>
      <c r="R36" s="34">
        <f t="shared" si="15"/>
        <v>0</v>
      </c>
      <c r="S36" s="34">
        <f t="shared" si="15"/>
        <v>0</v>
      </c>
      <c r="T36" s="34">
        <f t="shared" si="15"/>
        <v>0</v>
      </c>
    </row>
    <row r="37" spans="1:20" x14ac:dyDescent="0.3">
      <c r="A37" s="96">
        <v>1000</v>
      </c>
      <c r="B37" s="98">
        <v>1250</v>
      </c>
      <c r="C37" s="31">
        <v>13</v>
      </c>
      <c r="D37" s="31">
        <v>18</v>
      </c>
      <c r="E37" s="31">
        <v>24</v>
      </c>
      <c r="F37" s="31">
        <v>33</v>
      </c>
      <c r="G37" s="31">
        <v>47</v>
      </c>
      <c r="H37" s="31">
        <v>66</v>
      </c>
      <c r="I37" s="31">
        <v>105</v>
      </c>
      <c r="J37" s="31">
        <v>165</v>
      </c>
      <c r="K37" s="31">
        <v>260</v>
      </c>
      <c r="L37" s="31">
        <v>420</v>
      </c>
      <c r="M37" s="31">
        <v>660</v>
      </c>
      <c r="N37" s="31">
        <f>1.05*(1000)</f>
        <v>1050</v>
      </c>
      <c r="O37" s="31">
        <f>1.65*(1000)</f>
        <v>1650</v>
      </c>
      <c r="P37" s="31">
        <f>2.6*(1000)</f>
        <v>2600</v>
      </c>
      <c r="Q37" s="31">
        <f>4.2*(1000)</f>
        <v>4200</v>
      </c>
      <c r="R37" s="31">
        <f>6.6*(1000)</f>
        <v>6600</v>
      </c>
      <c r="S37" s="31">
        <f>10.5*(1000)</f>
        <v>10500</v>
      </c>
      <c r="T37" s="31">
        <f>16.5*(1000)</f>
        <v>16500</v>
      </c>
    </row>
    <row r="38" spans="1:20" ht="16.8" thickBot="1" x14ac:dyDescent="0.35">
      <c r="A38" s="97"/>
      <c r="B38" s="99"/>
      <c r="C38" s="34">
        <v>0</v>
      </c>
      <c r="D38" s="34">
        <v>0</v>
      </c>
      <c r="E38" s="34">
        <v>0</v>
      </c>
      <c r="F38" s="34">
        <v>0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f t="shared" ref="N38:T38" si="16">0*(1000)</f>
        <v>0</v>
      </c>
      <c r="O38" s="34">
        <f t="shared" si="16"/>
        <v>0</v>
      </c>
      <c r="P38" s="34">
        <f t="shared" si="16"/>
        <v>0</v>
      </c>
      <c r="Q38" s="34">
        <f t="shared" si="16"/>
        <v>0</v>
      </c>
      <c r="R38" s="34">
        <f t="shared" si="16"/>
        <v>0</v>
      </c>
      <c r="S38" s="34">
        <f t="shared" si="16"/>
        <v>0</v>
      </c>
      <c r="T38" s="34">
        <f t="shared" si="16"/>
        <v>0</v>
      </c>
    </row>
    <row r="39" spans="1:20" x14ac:dyDescent="0.3">
      <c r="A39" s="96">
        <v>1250</v>
      </c>
      <c r="B39" s="98">
        <v>1600</v>
      </c>
      <c r="C39" s="31">
        <v>15</v>
      </c>
      <c r="D39" s="31">
        <v>21</v>
      </c>
      <c r="E39" s="31">
        <v>29</v>
      </c>
      <c r="F39" s="31">
        <v>39</v>
      </c>
      <c r="G39" s="31">
        <v>55</v>
      </c>
      <c r="H39" s="31">
        <v>78</v>
      </c>
      <c r="I39" s="31">
        <v>125</v>
      </c>
      <c r="J39" s="31">
        <v>195</v>
      </c>
      <c r="K39" s="31">
        <v>310</v>
      </c>
      <c r="L39" s="31">
        <v>500</v>
      </c>
      <c r="M39" s="31">
        <v>780</v>
      </c>
      <c r="N39" s="31">
        <f>1.25*(1000)</f>
        <v>1250</v>
      </c>
      <c r="O39" s="31">
        <f>1.95*(1000)</f>
        <v>1950</v>
      </c>
      <c r="P39" s="31">
        <f>3.1*(1000)</f>
        <v>3100</v>
      </c>
      <c r="Q39" s="31">
        <f>5*(1000)</f>
        <v>5000</v>
      </c>
      <c r="R39" s="31">
        <f>7.8*(1000)</f>
        <v>7800</v>
      </c>
      <c r="S39" s="31">
        <f>12.5*(1000)</f>
        <v>12500</v>
      </c>
      <c r="T39" s="31">
        <f>19.5*(1000)</f>
        <v>19500</v>
      </c>
    </row>
    <row r="40" spans="1:20" ht="16.8" thickBot="1" x14ac:dyDescent="0.35">
      <c r="A40" s="97"/>
      <c r="B40" s="99"/>
      <c r="C40" s="34">
        <v>0</v>
      </c>
      <c r="D40" s="34">
        <v>0</v>
      </c>
      <c r="E40" s="34">
        <v>0</v>
      </c>
      <c r="F40" s="34">
        <v>0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f t="shared" ref="N40:T40" si="17">0*(1000)</f>
        <v>0</v>
      </c>
      <c r="O40" s="34">
        <f t="shared" si="17"/>
        <v>0</v>
      </c>
      <c r="P40" s="34">
        <f t="shared" si="17"/>
        <v>0</v>
      </c>
      <c r="Q40" s="34">
        <f t="shared" si="17"/>
        <v>0</v>
      </c>
      <c r="R40" s="34">
        <f t="shared" si="17"/>
        <v>0</v>
      </c>
      <c r="S40" s="34">
        <f t="shared" si="17"/>
        <v>0</v>
      </c>
      <c r="T40" s="34">
        <f t="shared" si="17"/>
        <v>0</v>
      </c>
    </row>
    <row r="41" spans="1:20" x14ac:dyDescent="0.3">
      <c r="A41" s="96">
        <v>1600</v>
      </c>
      <c r="B41" s="98">
        <v>2000</v>
      </c>
      <c r="C41" s="31">
        <v>18</v>
      </c>
      <c r="D41" s="31">
        <v>25</v>
      </c>
      <c r="E41" s="31">
        <v>35</v>
      </c>
      <c r="F41" s="31">
        <v>46</v>
      </c>
      <c r="G41" s="31">
        <v>65</v>
      </c>
      <c r="H41" s="31">
        <v>92</v>
      </c>
      <c r="I41" s="31">
        <v>150</v>
      </c>
      <c r="J41" s="31">
        <v>230</v>
      </c>
      <c r="K41" s="31">
        <v>370</v>
      </c>
      <c r="L41" s="31">
        <v>600</v>
      </c>
      <c r="M41" s="31">
        <v>920</v>
      </c>
      <c r="N41" s="31">
        <f>1.5*(1000)</f>
        <v>1500</v>
      </c>
      <c r="O41" s="31">
        <f>2.3*(1000)</f>
        <v>2300</v>
      </c>
      <c r="P41" s="31">
        <f>3.7*(1000)</f>
        <v>3700</v>
      </c>
      <c r="Q41" s="31">
        <f>6*(1000)</f>
        <v>6000</v>
      </c>
      <c r="R41" s="31">
        <f>9.2*(1000)</f>
        <v>9200</v>
      </c>
      <c r="S41" s="31">
        <f>15*(1000)</f>
        <v>15000</v>
      </c>
      <c r="T41" s="31">
        <f>23*(1000)</f>
        <v>23000</v>
      </c>
    </row>
    <row r="42" spans="1:20" ht="16.8" thickBot="1" x14ac:dyDescent="0.35">
      <c r="A42" s="97"/>
      <c r="B42" s="99"/>
      <c r="C42" s="34">
        <v>0</v>
      </c>
      <c r="D42" s="34">
        <v>0</v>
      </c>
      <c r="E42" s="34">
        <v>0</v>
      </c>
      <c r="F42" s="34">
        <v>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f t="shared" ref="N42:T42" si="18">0*(1000)</f>
        <v>0</v>
      </c>
      <c r="O42" s="34">
        <f t="shared" si="18"/>
        <v>0</v>
      </c>
      <c r="P42" s="34">
        <f t="shared" si="18"/>
        <v>0</v>
      </c>
      <c r="Q42" s="34">
        <f t="shared" si="18"/>
        <v>0</v>
      </c>
      <c r="R42" s="34">
        <f t="shared" si="18"/>
        <v>0</v>
      </c>
      <c r="S42" s="34">
        <f t="shared" si="18"/>
        <v>0</v>
      </c>
      <c r="T42" s="34">
        <f t="shared" si="18"/>
        <v>0</v>
      </c>
    </row>
    <row r="43" spans="1:20" x14ac:dyDescent="0.3">
      <c r="A43" s="96">
        <v>2000</v>
      </c>
      <c r="B43" s="98">
        <v>2500</v>
      </c>
      <c r="C43" s="31">
        <v>22</v>
      </c>
      <c r="D43" s="31">
        <v>30</v>
      </c>
      <c r="E43" s="31">
        <v>41</v>
      </c>
      <c r="F43" s="31">
        <v>55</v>
      </c>
      <c r="G43" s="31">
        <v>78</v>
      </c>
      <c r="H43" s="31">
        <v>110</v>
      </c>
      <c r="I43" s="31">
        <v>175</v>
      </c>
      <c r="J43" s="31">
        <v>280</v>
      </c>
      <c r="K43" s="31">
        <v>440</v>
      </c>
      <c r="L43" s="31">
        <v>700</v>
      </c>
      <c r="M43" s="38">
        <v>1100</v>
      </c>
      <c r="N43" s="31">
        <f>1.75*(1000)</f>
        <v>1750</v>
      </c>
      <c r="O43" s="31">
        <f>2.8*(1000)</f>
        <v>2800</v>
      </c>
      <c r="P43" s="31">
        <f>4.4*(1000)</f>
        <v>4400</v>
      </c>
      <c r="Q43" s="31">
        <f>7*(1000)</f>
        <v>7000</v>
      </c>
      <c r="R43" s="31">
        <f>11*(1000)</f>
        <v>11000</v>
      </c>
      <c r="S43" s="31">
        <f>17.5*(1000)</f>
        <v>17500</v>
      </c>
      <c r="T43" s="31">
        <f>28*(1000)</f>
        <v>28000</v>
      </c>
    </row>
    <row r="44" spans="1:20" ht="16.8" thickBot="1" x14ac:dyDescent="0.35">
      <c r="A44" s="97"/>
      <c r="B44" s="99"/>
      <c r="C44" s="34">
        <v>0</v>
      </c>
      <c r="D44" s="34">
        <v>0</v>
      </c>
      <c r="E44" s="34">
        <v>0</v>
      </c>
      <c r="F44" s="34">
        <v>0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f t="shared" ref="N44:T44" si="19">0*(1000)</f>
        <v>0</v>
      </c>
      <c r="O44" s="34">
        <f t="shared" si="19"/>
        <v>0</v>
      </c>
      <c r="P44" s="34">
        <f t="shared" si="19"/>
        <v>0</v>
      </c>
      <c r="Q44" s="34">
        <f t="shared" si="19"/>
        <v>0</v>
      </c>
      <c r="R44" s="34">
        <f t="shared" si="19"/>
        <v>0</v>
      </c>
      <c r="S44" s="34">
        <f t="shared" si="19"/>
        <v>0</v>
      </c>
      <c r="T44" s="34">
        <f t="shared" si="19"/>
        <v>0</v>
      </c>
    </row>
    <row r="45" spans="1:20" x14ac:dyDescent="0.3">
      <c r="A45" s="96">
        <v>2500</v>
      </c>
      <c r="B45" s="98">
        <v>3150</v>
      </c>
      <c r="C45" s="31">
        <v>25</v>
      </c>
      <c r="D45" s="31">
        <v>36</v>
      </c>
      <c r="E45" s="31">
        <v>50</v>
      </c>
      <c r="F45" s="31">
        <v>68</v>
      </c>
      <c r="G45" s="31">
        <v>96</v>
      </c>
      <c r="H45" s="31">
        <v>135</v>
      </c>
      <c r="I45" s="31">
        <v>210</v>
      </c>
      <c r="J45" s="31">
        <v>330</v>
      </c>
      <c r="K45" s="31">
        <v>540</v>
      </c>
      <c r="L45" s="31">
        <v>860</v>
      </c>
      <c r="M45" s="38">
        <v>1350</v>
      </c>
      <c r="N45" s="31">
        <f>2.1*(1000)</f>
        <v>2100</v>
      </c>
      <c r="O45" s="31">
        <f>3.3*(1000)</f>
        <v>3300</v>
      </c>
      <c r="P45" s="31">
        <f>5.4*(1000)</f>
        <v>5400</v>
      </c>
      <c r="Q45" s="31">
        <f>8.6*(1000)</f>
        <v>8600</v>
      </c>
      <c r="R45" s="31">
        <f>13.5*(1000)</f>
        <v>13500</v>
      </c>
      <c r="S45" s="31">
        <f>21*(1000)</f>
        <v>21000</v>
      </c>
      <c r="T45" s="31">
        <f>33*(1000)</f>
        <v>33000</v>
      </c>
    </row>
    <row r="46" spans="1:20" ht="16.8" thickBot="1" x14ac:dyDescent="0.35">
      <c r="A46" s="97"/>
      <c r="B46" s="99"/>
      <c r="C46" s="34">
        <v>0</v>
      </c>
      <c r="D46" s="34">
        <v>0</v>
      </c>
      <c r="E46" s="34">
        <v>0</v>
      </c>
      <c r="F46" s="34">
        <v>0</v>
      </c>
      <c r="G46" s="34">
        <v>0</v>
      </c>
      <c r="H46" s="34">
        <v>0</v>
      </c>
      <c r="I46" s="34">
        <v>0</v>
      </c>
      <c r="J46" s="34">
        <v>0</v>
      </c>
      <c r="K46" s="34">
        <v>0</v>
      </c>
      <c r="L46" s="34">
        <v>0</v>
      </c>
      <c r="M46" s="34">
        <v>0</v>
      </c>
      <c r="N46" s="34">
        <f t="shared" ref="N46:T46" si="20">0*(1000)</f>
        <v>0</v>
      </c>
      <c r="O46" s="34">
        <f t="shared" si="20"/>
        <v>0</v>
      </c>
      <c r="P46" s="34">
        <f t="shared" si="20"/>
        <v>0</v>
      </c>
      <c r="Q46" s="34">
        <f t="shared" si="20"/>
        <v>0</v>
      </c>
      <c r="R46" s="34">
        <f t="shared" si="20"/>
        <v>0</v>
      </c>
      <c r="S46" s="34">
        <f t="shared" si="20"/>
        <v>0</v>
      </c>
      <c r="T46" s="34">
        <f t="shared" si="20"/>
        <v>0</v>
      </c>
    </row>
    <row r="47" spans="1:20" ht="16.8" thickBot="1" x14ac:dyDescent="0.35">
      <c r="A47" s="89" t="s">
        <v>27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1"/>
    </row>
    <row r="48" spans="1:20" ht="16.8" thickTop="1" x14ac:dyDescent="0.3"/>
  </sheetData>
  <mergeCells count="49">
    <mergeCell ref="A1:B1"/>
    <mergeCell ref="A2:B2"/>
    <mergeCell ref="C1:T1"/>
    <mergeCell ref="A3:A4"/>
    <mergeCell ref="B3:B4"/>
    <mergeCell ref="A5:A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B29:B30"/>
    <mergeCell ref="A31:A32"/>
    <mergeCell ref="B31:B32"/>
    <mergeCell ref="A33:A34"/>
    <mergeCell ref="B33:B34"/>
    <mergeCell ref="A47:T47"/>
    <mergeCell ref="B5:B6"/>
    <mergeCell ref="C3:T4"/>
    <mergeCell ref="A41:A42"/>
    <mergeCell ref="B41:B42"/>
    <mergeCell ref="A43:A44"/>
    <mergeCell ref="B43:B44"/>
    <mergeCell ref="A45:A46"/>
    <mergeCell ref="B45:B46"/>
    <mergeCell ref="A35:A36"/>
    <mergeCell ref="B35:B36"/>
    <mergeCell ref="A37:A38"/>
    <mergeCell ref="B37:B38"/>
    <mergeCell ref="A39:A40"/>
    <mergeCell ref="B39:B40"/>
    <mergeCell ref="A29:A30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5FEA-F200-42DE-AB37-40BFFD442B55}">
  <dimension ref="A1:AM49"/>
  <sheetViews>
    <sheetView topLeftCell="A33" zoomScaleNormal="100" workbookViewId="0">
      <selection activeCell="X17" sqref="X17"/>
    </sheetView>
  </sheetViews>
  <sheetFormatPr defaultRowHeight="16.2" x14ac:dyDescent="0.3"/>
  <sheetData>
    <row r="1" spans="1:39" ht="17.399999999999999" customHeight="1" thickTop="1" thickBot="1" x14ac:dyDescent="0.35">
      <c r="A1" s="129" t="s">
        <v>30</v>
      </c>
      <c r="B1" s="130"/>
      <c r="C1" s="116" t="s">
        <v>29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8"/>
    </row>
    <row r="2" spans="1:39" ht="16.8" thickBot="1" x14ac:dyDescent="0.35">
      <c r="A2" s="85" t="s">
        <v>1</v>
      </c>
      <c r="B2" s="104"/>
      <c r="C2" s="20">
        <v>1</v>
      </c>
      <c r="D2" s="20">
        <v>2</v>
      </c>
      <c r="E2" s="20">
        <v>3</v>
      </c>
      <c r="F2" s="20">
        <v>4</v>
      </c>
      <c r="G2" s="20">
        <v>5</v>
      </c>
      <c r="H2" s="20">
        <v>6</v>
      </c>
      <c r="I2" s="20">
        <v>7</v>
      </c>
      <c r="J2" s="20">
        <v>8</v>
      </c>
      <c r="K2" s="20">
        <v>9</v>
      </c>
      <c r="L2" s="20">
        <v>10</v>
      </c>
      <c r="M2" s="20">
        <v>11</v>
      </c>
      <c r="N2" s="20">
        <v>12</v>
      </c>
      <c r="O2" s="20">
        <v>13</v>
      </c>
      <c r="P2" s="20">
        <v>14</v>
      </c>
      <c r="Q2" s="20">
        <v>15</v>
      </c>
      <c r="R2" s="20">
        <v>16</v>
      </c>
      <c r="S2" s="20">
        <v>17</v>
      </c>
      <c r="T2" s="2">
        <v>18</v>
      </c>
    </row>
    <row r="3" spans="1:39" x14ac:dyDescent="0.3">
      <c r="A3" s="70" t="s">
        <v>31</v>
      </c>
      <c r="B3" s="131" t="s">
        <v>32</v>
      </c>
      <c r="C3" s="133" t="s">
        <v>34</v>
      </c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5"/>
    </row>
    <row r="4" spans="1:39" ht="16.8" thickBot="1" x14ac:dyDescent="0.35">
      <c r="A4" s="71"/>
      <c r="B4" s="132"/>
      <c r="C4" s="109" t="s">
        <v>20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86"/>
    </row>
    <row r="5" spans="1:39" ht="16.8" thickBot="1" x14ac:dyDescent="0.35">
      <c r="A5" s="61" t="s">
        <v>33</v>
      </c>
      <c r="B5" s="100" t="s">
        <v>21</v>
      </c>
      <c r="C5" s="41">
        <v>0.4</v>
      </c>
      <c r="D5" s="41">
        <f>(1.2)/(2)</f>
        <v>0.6</v>
      </c>
      <c r="E5" s="41">
        <f>(2)/(2)</f>
        <v>1</v>
      </c>
      <c r="F5" s="41">
        <f>(3)/(2)</f>
        <v>1.5</v>
      </c>
      <c r="G5" s="41">
        <f>(4)/(2)</f>
        <v>2</v>
      </c>
      <c r="H5" s="41">
        <f>(6)/(2)</f>
        <v>3</v>
      </c>
      <c r="I5" s="41">
        <f>(10)/(2)</f>
        <v>5</v>
      </c>
      <c r="J5" s="41">
        <f>(14)/(2)</f>
        <v>7</v>
      </c>
      <c r="K5" s="41">
        <f>(25)/(2)</f>
        <v>12.5</v>
      </c>
      <c r="L5" s="41">
        <f>(40)/(2)</f>
        <v>20</v>
      </c>
      <c r="M5" s="41">
        <f>(60)/(2)</f>
        <v>30</v>
      </c>
      <c r="N5" s="41">
        <f>((0.1)*(1000))/(2)</f>
        <v>50</v>
      </c>
      <c r="O5" s="41">
        <f>((0.14)*(1000))/(2)</f>
        <v>70</v>
      </c>
      <c r="P5" s="41">
        <f>((0.25)*(1000))/(2)</f>
        <v>125</v>
      </c>
      <c r="Q5" s="41">
        <f>((0.4)*(1000))/(2)</f>
        <v>200</v>
      </c>
      <c r="R5" s="41">
        <f>((0.6)*(1000))/(2)</f>
        <v>300</v>
      </c>
      <c r="S5" s="41">
        <f>((1)*(1000))/(2)</f>
        <v>500</v>
      </c>
      <c r="T5" s="41">
        <f>((1.4)*(1000))/(2)</f>
        <v>700</v>
      </c>
      <c r="AM5" s="1"/>
    </row>
    <row r="6" spans="1:39" ht="16.8" thickBot="1" x14ac:dyDescent="0.35">
      <c r="A6" s="62"/>
      <c r="B6" s="101"/>
      <c r="C6" s="41">
        <f>((0.8)/(2))*(-1)</f>
        <v>-0.4</v>
      </c>
      <c r="D6" s="41">
        <f>((1.2)/(2))*(-1)</f>
        <v>-0.6</v>
      </c>
      <c r="E6" s="41">
        <f>((2)/(2))*(-1)</f>
        <v>-1</v>
      </c>
      <c r="F6" s="41">
        <f>((3)/(2))*(-1)</f>
        <v>-1.5</v>
      </c>
      <c r="G6" s="41">
        <f>((4)/(2))*(-1)</f>
        <v>-2</v>
      </c>
      <c r="H6" s="41">
        <f>((6)/(2))*(-1)</f>
        <v>-3</v>
      </c>
      <c r="I6" s="41">
        <f>((10)/(2))*(-1)</f>
        <v>-5</v>
      </c>
      <c r="J6" s="41">
        <f>((14)/(2))*(-1)</f>
        <v>-7</v>
      </c>
      <c r="K6" s="41">
        <f>((25)/(2))*(-1)</f>
        <v>-12.5</v>
      </c>
      <c r="L6" s="41">
        <f>((40)/(2))*(-1)</f>
        <v>-20</v>
      </c>
      <c r="M6" s="41">
        <f>((60)/(2))*(-1)</f>
        <v>-30</v>
      </c>
      <c r="N6" s="41">
        <f>(((0.1)*(1000))/(2))*(-1)</f>
        <v>-50</v>
      </c>
      <c r="O6" s="41">
        <f>(((0.14)*(1000))/(2))*(-1)</f>
        <v>-70</v>
      </c>
      <c r="P6" s="41">
        <f>(((0.25)*(1000))/(2))*(-1)</f>
        <v>-125</v>
      </c>
      <c r="Q6" s="41">
        <f>(((0.4)*(1000))/(2))*(-1)</f>
        <v>-200</v>
      </c>
      <c r="R6" s="41">
        <f>(((0.6)*(1000))/(2))*(-1)</f>
        <v>-300</v>
      </c>
      <c r="S6" s="41">
        <f>(((1)*(1000))/(2))*(-1)</f>
        <v>-500</v>
      </c>
      <c r="T6" s="41">
        <f>(((1.4)*(1000))/(2))*(-1)</f>
        <v>-700</v>
      </c>
      <c r="AM6" s="1"/>
    </row>
    <row r="7" spans="1:39" ht="16.8" thickBot="1" x14ac:dyDescent="0.35">
      <c r="A7" s="61">
        <v>3</v>
      </c>
      <c r="B7" s="100">
        <v>6</v>
      </c>
      <c r="C7" s="41">
        <f>(1)/(2)</f>
        <v>0.5</v>
      </c>
      <c r="D7" s="41">
        <f>(1.5)/(2)</f>
        <v>0.75</v>
      </c>
      <c r="E7" s="41">
        <f>(2.5)/(2)</f>
        <v>1.25</v>
      </c>
      <c r="F7" s="41">
        <f>(4)/(2)</f>
        <v>2</v>
      </c>
      <c r="G7" s="41">
        <f>(5)/(2)</f>
        <v>2.5</v>
      </c>
      <c r="H7" s="41">
        <f>(8)/(2)</f>
        <v>4</v>
      </c>
      <c r="I7" s="41">
        <f>(12)/(2)</f>
        <v>6</v>
      </c>
      <c r="J7" s="41">
        <f>(18)/(2)</f>
        <v>9</v>
      </c>
      <c r="K7" s="41">
        <f>(30)/(2)</f>
        <v>15</v>
      </c>
      <c r="L7" s="41">
        <f>(48)/(2)</f>
        <v>24</v>
      </c>
      <c r="M7" s="41">
        <f>(75)/(2)</f>
        <v>37.5</v>
      </c>
      <c r="N7" s="41">
        <f>((0.12)*(1000))/(2)</f>
        <v>60</v>
      </c>
      <c r="O7" s="41">
        <f>((0.18)*(1000))/(2)</f>
        <v>90</v>
      </c>
      <c r="P7" s="41">
        <f>((0.3)*(1000))/(2)</f>
        <v>150</v>
      </c>
      <c r="Q7" s="41">
        <f>((0.48)*(1000))/(2)</f>
        <v>240</v>
      </c>
      <c r="R7" s="41">
        <f>((0.75)*(1000))/(2)</f>
        <v>375</v>
      </c>
      <c r="S7" s="41">
        <f>((1.2)*(1000))/(2)</f>
        <v>600</v>
      </c>
      <c r="T7" s="41">
        <f>((1.8)*(1000))/(2)</f>
        <v>900</v>
      </c>
      <c r="AM7" s="1"/>
    </row>
    <row r="8" spans="1:39" ht="16.8" thickBot="1" x14ac:dyDescent="0.35">
      <c r="A8" s="62"/>
      <c r="B8" s="101"/>
      <c r="C8" s="41">
        <f>((1)/(2))*(-1)</f>
        <v>-0.5</v>
      </c>
      <c r="D8" s="41">
        <f>((1.5)/(2))*(-1)</f>
        <v>-0.75</v>
      </c>
      <c r="E8" s="41">
        <f>((2.5)/(2))*(-1)</f>
        <v>-1.25</v>
      </c>
      <c r="F8" s="41">
        <f>((4)/(2))*(-1)</f>
        <v>-2</v>
      </c>
      <c r="G8" s="41">
        <f>((5)/(2))*(-1)</f>
        <v>-2.5</v>
      </c>
      <c r="H8" s="41">
        <f>((8)/(2))*(-1)</f>
        <v>-4</v>
      </c>
      <c r="I8" s="41">
        <f>((12)/(2))*(-1)</f>
        <v>-6</v>
      </c>
      <c r="J8" s="41">
        <f>((18)/(2))*(-1)</f>
        <v>-9</v>
      </c>
      <c r="K8" s="41">
        <f>((30)/(2))*(-1)</f>
        <v>-15</v>
      </c>
      <c r="L8" s="41">
        <f>((48)/(2))*(-1)</f>
        <v>-24</v>
      </c>
      <c r="M8" s="41">
        <f>((75)/(2))*(-1)</f>
        <v>-37.5</v>
      </c>
      <c r="N8" s="41">
        <f>(((0.12)*(1000))/(2))*(-1)</f>
        <v>-60</v>
      </c>
      <c r="O8" s="41">
        <f>(((0.18)*(1000))/(2))*(-1)</f>
        <v>-90</v>
      </c>
      <c r="P8" s="41">
        <f>(((0.3)*(1000))/(2))*(-1)</f>
        <v>-150</v>
      </c>
      <c r="Q8" s="41">
        <f>(((0.48)*(1000))/(2))*(-1)</f>
        <v>-240</v>
      </c>
      <c r="R8" s="41">
        <f>(((0.75)*(1000))/(2))*(-1)</f>
        <v>-375</v>
      </c>
      <c r="S8" s="41">
        <f>(((1.2)*(1000))/(2))*(-1)</f>
        <v>-600</v>
      </c>
      <c r="T8" s="41">
        <f>(((1.8)*(1000))/(2))*(-1)</f>
        <v>-900</v>
      </c>
      <c r="AM8" s="1"/>
    </row>
    <row r="9" spans="1:39" ht="16.8" thickBot="1" x14ac:dyDescent="0.35">
      <c r="A9" s="61">
        <v>6</v>
      </c>
      <c r="B9" s="100">
        <v>10</v>
      </c>
      <c r="C9" s="41">
        <f t="shared" ref="C9" si="0">(1)/(2)</f>
        <v>0.5</v>
      </c>
      <c r="D9" s="41">
        <f t="shared" ref="D9" si="1">(1.5)/(2)</f>
        <v>0.75</v>
      </c>
      <c r="E9" s="41">
        <f t="shared" ref="E9" si="2">(2.5)/(2)</f>
        <v>1.25</v>
      </c>
      <c r="F9" s="41">
        <f t="shared" ref="F9" si="3">(4)/(2)</f>
        <v>2</v>
      </c>
      <c r="G9" s="41">
        <f t="shared" ref="G9" si="4">(6)/(2)</f>
        <v>3</v>
      </c>
      <c r="H9" s="41">
        <f t="shared" ref="H9" si="5">(9)/(2)</f>
        <v>4.5</v>
      </c>
      <c r="I9" s="41">
        <f t="shared" ref="I9" si="6">(15)/(2)</f>
        <v>7.5</v>
      </c>
      <c r="J9" s="41">
        <f t="shared" ref="J9" si="7">(22)/(2)</f>
        <v>11</v>
      </c>
      <c r="K9" s="41">
        <f t="shared" ref="K9" si="8">(36)/(2)</f>
        <v>18</v>
      </c>
      <c r="L9" s="41">
        <f t="shared" ref="L9" si="9">(58)/(2)</f>
        <v>29</v>
      </c>
      <c r="M9" s="41">
        <f t="shared" ref="M9" si="10">(90)/(2)</f>
        <v>45</v>
      </c>
      <c r="N9" s="41">
        <f t="shared" ref="N9" si="11">((0.15)*(1000))/(2)</f>
        <v>75</v>
      </c>
      <c r="O9" s="41">
        <f t="shared" ref="O9" si="12">((0.22)*(1000))/(2)</f>
        <v>110</v>
      </c>
      <c r="P9" s="41">
        <f t="shared" ref="P9" si="13">((0.36)*(1000))/(2)</f>
        <v>180</v>
      </c>
      <c r="Q9" s="41">
        <f t="shared" ref="Q9" si="14">((0.58)*(1000))/(2)</f>
        <v>290</v>
      </c>
      <c r="R9" s="41">
        <f t="shared" ref="R9" si="15">((0.9)*(1000))/(2)</f>
        <v>450</v>
      </c>
      <c r="S9" s="41">
        <f t="shared" ref="S9" si="16">((1.5)*(1000))/(2)</f>
        <v>750</v>
      </c>
      <c r="T9" s="41">
        <f t="shared" ref="T9" si="17">((2.2)*(1000))/(2)</f>
        <v>1100</v>
      </c>
      <c r="AM9" s="1"/>
    </row>
    <row r="10" spans="1:39" ht="16.8" thickBot="1" x14ac:dyDescent="0.35">
      <c r="A10" s="62"/>
      <c r="B10" s="101"/>
      <c r="C10" s="41">
        <f>((1)/(2))*(-1)</f>
        <v>-0.5</v>
      </c>
      <c r="D10" s="41">
        <f>((1.5)/(2))*(-1)</f>
        <v>-0.75</v>
      </c>
      <c r="E10" s="41">
        <f>((2.5)/(2))*(-1)</f>
        <v>-1.25</v>
      </c>
      <c r="F10" s="41">
        <f>((4)/(2))*(-1)</f>
        <v>-2</v>
      </c>
      <c r="G10" s="41">
        <f>((6)/(2))*(-1)</f>
        <v>-3</v>
      </c>
      <c r="H10" s="41">
        <f>((9)/(2))*(-1)</f>
        <v>-4.5</v>
      </c>
      <c r="I10" s="41">
        <f>((15)/(2))*(-1)</f>
        <v>-7.5</v>
      </c>
      <c r="J10" s="41">
        <f>((22)/(2))*(-1)</f>
        <v>-11</v>
      </c>
      <c r="K10" s="41">
        <f>((36)/(2))*(-1)</f>
        <v>-18</v>
      </c>
      <c r="L10" s="41">
        <f>((58)/(2))*(-1)</f>
        <v>-29</v>
      </c>
      <c r="M10" s="41">
        <f>((90)/(2))*(-1)</f>
        <v>-45</v>
      </c>
      <c r="N10" s="41">
        <f>(((0.15)*(1000))/(2))*(-1)</f>
        <v>-75</v>
      </c>
      <c r="O10" s="41">
        <f>(((0.22)*(1000))/(2))*(-1)</f>
        <v>-110</v>
      </c>
      <c r="P10" s="41">
        <f>(((0.36)*(1000))/(2))*(-1)</f>
        <v>-180</v>
      </c>
      <c r="Q10" s="41">
        <f>(((0.58)*(1000))/(2))*(-1)</f>
        <v>-290</v>
      </c>
      <c r="R10" s="41">
        <f>(((0.9)*(1000))/(2))*(-1)</f>
        <v>-450</v>
      </c>
      <c r="S10" s="41">
        <f>(((1.5)*(1000))/(2))*(-1)</f>
        <v>-750</v>
      </c>
      <c r="T10" s="41">
        <f>(((2.2)*(1000))/(2))*(-1)</f>
        <v>-1100</v>
      </c>
      <c r="AM10" s="1"/>
    </row>
    <row r="11" spans="1:39" ht="16.8" thickBot="1" x14ac:dyDescent="0.35">
      <c r="A11" s="61">
        <v>10</v>
      </c>
      <c r="B11" s="100">
        <v>18</v>
      </c>
      <c r="C11" s="41">
        <f t="shared" ref="C11" si="18">(1.2)/(2)</f>
        <v>0.6</v>
      </c>
      <c r="D11" s="41">
        <f t="shared" ref="D11" si="19">(2)/(2)</f>
        <v>1</v>
      </c>
      <c r="E11" s="41">
        <f t="shared" ref="E11" si="20">(3)/(2)</f>
        <v>1.5</v>
      </c>
      <c r="F11" s="41">
        <f t="shared" ref="F11" si="21">(5)/(2)</f>
        <v>2.5</v>
      </c>
      <c r="G11" s="41">
        <f t="shared" ref="G11" si="22">(8)/(2)</f>
        <v>4</v>
      </c>
      <c r="H11" s="41">
        <f t="shared" ref="H11" si="23">(11)/(2)</f>
        <v>5.5</v>
      </c>
      <c r="I11" s="41">
        <f t="shared" ref="I11" si="24">(18)/(2)</f>
        <v>9</v>
      </c>
      <c r="J11" s="41">
        <f t="shared" ref="J11" si="25">(27)/(2)</f>
        <v>13.5</v>
      </c>
      <c r="K11" s="41">
        <f t="shared" ref="K11" si="26">(43)/(2)</f>
        <v>21.5</v>
      </c>
      <c r="L11" s="41">
        <f t="shared" ref="L11" si="27">(70)/(2)</f>
        <v>35</v>
      </c>
      <c r="M11" s="41">
        <f t="shared" ref="M11" si="28">(110)/(2)</f>
        <v>55</v>
      </c>
      <c r="N11" s="41">
        <f t="shared" ref="N11" si="29">((0.18)*(1000))/(2)</f>
        <v>90</v>
      </c>
      <c r="O11" s="41">
        <f t="shared" ref="O11" si="30">((0.27)*(1000))/(2)</f>
        <v>135</v>
      </c>
      <c r="P11" s="41">
        <f t="shared" ref="P11" si="31">((0.43)*(1000))/(2)</f>
        <v>215</v>
      </c>
      <c r="Q11" s="41">
        <f t="shared" ref="Q11" si="32">((0.7)*(1000))/(2)</f>
        <v>350</v>
      </c>
      <c r="R11" s="41">
        <f t="shared" ref="R11" si="33">((1.1)*(1000))/(2)</f>
        <v>550</v>
      </c>
      <c r="S11" s="41">
        <f t="shared" ref="S11" si="34">((1.8)*(1000))/(2)</f>
        <v>900</v>
      </c>
      <c r="T11" s="41">
        <f t="shared" ref="T11" si="35">((2.7)*(1000))/(2)</f>
        <v>1350</v>
      </c>
      <c r="AM11" s="1"/>
    </row>
    <row r="12" spans="1:39" ht="16.8" thickBot="1" x14ac:dyDescent="0.35">
      <c r="A12" s="62"/>
      <c r="B12" s="101"/>
      <c r="C12" s="41">
        <f>((1.2)/(2))*(-1)</f>
        <v>-0.6</v>
      </c>
      <c r="D12" s="41">
        <f>((2)/(2))*(-1)</f>
        <v>-1</v>
      </c>
      <c r="E12" s="41">
        <f>((3)/(2))*(-1)</f>
        <v>-1.5</v>
      </c>
      <c r="F12" s="41">
        <f>((5)/(2))*(-1)</f>
        <v>-2.5</v>
      </c>
      <c r="G12" s="41">
        <f>((8)/(2))*(-1)</f>
        <v>-4</v>
      </c>
      <c r="H12" s="41">
        <f>((11)/(2))*(-1)</f>
        <v>-5.5</v>
      </c>
      <c r="I12" s="41">
        <f>((18)/(2))*(-1)</f>
        <v>-9</v>
      </c>
      <c r="J12" s="41">
        <f>((27)/(2))*(-1)</f>
        <v>-13.5</v>
      </c>
      <c r="K12" s="41">
        <f>((43)/(2))*(-1)</f>
        <v>-21.5</v>
      </c>
      <c r="L12" s="41">
        <f>((70)/(2))*(-1)</f>
        <v>-35</v>
      </c>
      <c r="M12" s="41">
        <f>((110)/(2))*(-1)</f>
        <v>-55</v>
      </c>
      <c r="N12" s="41">
        <f>(((0.18)*(1000))/(2))*(-1)</f>
        <v>-90</v>
      </c>
      <c r="O12" s="41">
        <f>(((0.27)*(1000))/(2))*(-1)</f>
        <v>-135</v>
      </c>
      <c r="P12" s="41">
        <f>(((0.43)*(1000))/(2))*(-1)</f>
        <v>-215</v>
      </c>
      <c r="Q12" s="41">
        <f>(((0.7)*(1000))/(2))*(-1)</f>
        <v>-350</v>
      </c>
      <c r="R12" s="41">
        <f>(((1.1)*(1000))/(2))*(-1)</f>
        <v>-550</v>
      </c>
      <c r="S12" s="41">
        <f>(((1.8)*(1000))/(2))*(-1)</f>
        <v>-900</v>
      </c>
      <c r="T12" s="41">
        <f>(((2.7)*(1000))/(2))*(-1)</f>
        <v>-1350</v>
      </c>
      <c r="AM12" s="1"/>
    </row>
    <row r="13" spans="1:39" ht="16.8" thickBot="1" x14ac:dyDescent="0.35">
      <c r="A13" s="61">
        <v>18</v>
      </c>
      <c r="B13" s="100">
        <v>30</v>
      </c>
      <c r="C13" s="41">
        <f t="shared" ref="C13:C15" si="36">(1.5)/(2)</f>
        <v>0.75</v>
      </c>
      <c r="D13" s="41">
        <f t="shared" ref="D13:D15" si="37">(2.5)/(2)</f>
        <v>1.25</v>
      </c>
      <c r="E13" s="41">
        <f t="shared" ref="E13:E15" si="38">(4)/(2)</f>
        <v>2</v>
      </c>
      <c r="F13" s="41">
        <f t="shared" ref="F13" si="39">(6)/(2)</f>
        <v>3</v>
      </c>
      <c r="G13" s="41">
        <f t="shared" ref="G13" si="40">(9)/(2)</f>
        <v>4.5</v>
      </c>
      <c r="H13" s="41">
        <f t="shared" ref="H13" si="41">(13)/(2)</f>
        <v>6.5</v>
      </c>
      <c r="I13" s="41">
        <f t="shared" ref="I13" si="42">(21)/(2)</f>
        <v>10.5</v>
      </c>
      <c r="J13" s="41">
        <f t="shared" ref="J13" si="43">(33)/(2)</f>
        <v>16.5</v>
      </c>
      <c r="K13" s="41">
        <f t="shared" ref="K13" si="44">(52)/(2)</f>
        <v>26</v>
      </c>
      <c r="L13" s="41">
        <f t="shared" ref="L13" si="45">(84)/(2)</f>
        <v>42</v>
      </c>
      <c r="M13" s="41">
        <f t="shared" ref="M13" si="46">(130)/(2)</f>
        <v>65</v>
      </c>
      <c r="N13" s="41">
        <f t="shared" ref="N13" si="47">((0.21)*(1000))/(2)</f>
        <v>105</v>
      </c>
      <c r="O13" s="41">
        <f t="shared" ref="O13" si="48">((0.33)*(1000))/(2)</f>
        <v>165</v>
      </c>
      <c r="P13" s="41">
        <f t="shared" ref="P13" si="49">((0.52)*(1000))/(2)</f>
        <v>260</v>
      </c>
      <c r="Q13" s="41">
        <f t="shared" ref="Q13" si="50">((0.84)*(1000))/(2)</f>
        <v>420</v>
      </c>
      <c r="R13" s="41">
        <f t="shared" ref="R13" si="51">((1.3)*(1000))/(2)</f>
        <v>650</v>
      </c>
      <c r="S13" s="41">
        <f t="shared" ref="S13" si="52">((2.1)*(1000))/(2)</f>
        <v>1050</v>
      </c>
      <c r="T13" s="41">
        <f t="shared" ref="T13" si="53">((3.3)*(1000))/(2)</f>
        <v>1650</v>
      </c>
      <c r="AM13" s="1"/>
    </row>
    <row r="14" spans="1:39" ht="16.8" thickBot="1" x14ac:dyDescent="0.35">
      <c r="A14" s="62"/>
      <c r="B14" s="101"/>
      <c r="C14" s="41">
        <f>((1.5)/(2))*(-1)</f>
        <v>-0.75</v>
      </c>
      <c r="D14" s="41">
        <f>((2.5)/(2))*(-1)</f>
        <v>-1.25</v>
      </c>
      <c r="E14" s="41">
        <f>((4)/(2))*(-1)</f>
        <v>-2</v>
      </c>
      <c r="F14" s="41">
        <f>((6)/(2))*(-1)</f>
        <v>-3</v>
      </c>
      <c r="G14" s="41">
        <f>((9)/(2))*(-1)</f>
        <v>-4.5</v>
      </c>
      <c r="H14" s="41">
        <f>((13)/(2))*(-1)</f>
        <v>-6.5</v>
      </c>
      <c r="I14" s="41">
        <f>((21)/(2))*(-1)</f>
        <v>-10.5</v>
      </c>
      <c r="J14" s="41">
        <f>((33)/(2))*(-1)</f>
        <v>-16.5</v>
      </c>
      <c r="K14" s="41">
        <f>((52)/(2))*(-1)</f>
        <v>-26</v>
      </c>
      <c r="L14" s="41">
        <f>((84)/(2))*(-1)</f>
        <v>-42</v>
      </c>
      <c r="M14" s="41">
        <f>((130)/(2))*(-1)</f>
        <v>-65</v>
      </c>
      <c r="N14" s="41">
        <f>(((0.21)*(1000))/(2))*(-1)</f>
        <v>-105</v>
      </c>
      <c r="O14" s="41">
        <f>(((0.33)*(1000))/(2))*(-1)</f>
        <v>-165</v>
      </c>
      <c r="P14" s="41">
        <f>(((0.52)*(1000))/(2))*(-1)</f>
        <v>-260</v>
      </c>
      <c r="Q14" s="41">
        <f>(((0.84)*(1000))/(2))*(-1)</f>
        <v>-420</v>
      </c>
      <c r="R14" s="41">
        <f>(((1.3)*(1000))/(2))*(-1)</f>
        <v>-650</v>
      </c>
      <c r="S14" s="41">
        <f>(((2.1)*(1000))/(2))*(-1)</f>
        <v>-1050</v>
      </c>
      <c r="T14" s="41">
        <f>(((3.3)*(1000))/(2))*(-1)</f>
        <v>-1650</v>
      </c>
      <c r="AM14" s="1"/>
    </row>
    <row r="15" spans="1:39" ht="16.8" thickBot="1" x14ac:dyDescent="0.35">
      <c r="A15" s="61">
        <v>30</v>
      </c>
      <c r="B15" s="100">
        <v>50</v>
      </c>
      <c r="C15" s="41">
        <f t="shared" si="36"/>
        <v>0.75</v>
      </c>
      <c r="D15" s="41">
        <f t="shared" si="37"/>
        <v>1.25</v>
      </c>
      <c r="E15" s="41">
        <f t="shared" si="38"/>
        <v>2</v>
      </c>
      <c r="F15" s="41">
        <f t="shared" ref="F15" si="54">(7)/(2)</f>
        <v>3.5</v>
      </c>
      <c r="G15" s="41">
        <f t="shared" ref="G15" si="55">(11)/(2)</f>
        <v>5.5</v>
      </c>
      <c r="H15" s="41">
        <f t="shared" ref="H15" si="56">(16)/(2)</f>
        <v>8</v>
      </c>
      <c r="I15" s="41">
        <f t="shared" ref="I15" si="57">(25)/(2)</f>
        <v>12.5</v>
      </c>
      <c r="J15" s="41">
        <f t="shared" ref="J15" si="58">(39)/(2)</f>
        <v>19.5</v>
      </c>
      <c r="K15" s="41">
        <f t="shared" ref="K15" si="59">(62)/(2)</f>
        <v>31</v>
      </c>
      <c r="L15" s="41">
        <f t="shared" ref="L15" si="60">(100)/(2)</f>
        <v>50</v>
      </c>
      <c r="M15" s="41">
        <f t="shared" ref="M15" si="61">(160)/(2)</f>
        <v>80</v>
      </c>
      <c r="N15" s="41">
        <f t="shared" ref="N15" si="62">((0.25)*(1000))/(2)</f>
        <v>125</v>
      </c>
      <c r="O15" s="41">
        <f t="shared" ref="O15" si="63">((0.39)*(1000))/(2)</f>
        <v>195</v>
      </c>
      <c r="P15" s="41">
        <f t="shared" ref="P15" si="64">((0.62)*(1000))/(2)</f>
        <v>310</v>
      </c>
      <c r="Q15" s="41">
        <f t="shared" ref="Q15" si="65">((1)*(1000))/(2)</f>
        <v>500</v>
      </c>
      <c r="R15" s="41">
        <f t="shared" ref="R15" si="66">((1.6)*(1000))/(2)</f>
        <v>800</v>
      </c>
      <c r="S15" s="41">
        <f t="shared" ref="S15" si="67">((2.5)*(1000))/(2)</f>
        <v>1250</v>
      </c>
      <c r="T15" s="41">
        <f t="shared" ref="T15" si="68">((3.9)*(1000))/(2)</f>
        <v>1950</v>
      </c>
      <c r="AM15" s="1"/>
    </row>
    <row r="16" spans="1:39" ht="16.8" thickBot="1" x14ac:dyDescent="0.35">
      <c r="A16" s="62"/>
      <c r="B16" s="101"/>
      <c r="C16" s="41">
        <f>((1.5)/(2))*(-1)</f>
        <v>-0.75</v>
      </c>
      <c r="D16" s="41">
        <f>((2.5)/(2))*(-1)</f>
        <v>-1.25</v>
      </c>
      <c r="E16" s="41">
        <f>((4)/(2))*(-1)</f>
        <v>-2</v>
      </c>
      <c r="F16" s="41">
        <f>((7)/(2))*(-1)</f>
        <v>-3.5</v>
      </c>
      <c r="G16" s="41">
        <f>((11)/(2))*(-1)</f>
        <v>-5.5</v>
      </c>
      <c r="H16" s="41">
        <f>((16)/(2))*(-1)</f>
        <v>-8</v>
      </c>
      <c r="I16" s="41">
        <f>((25)/(2))*(-1)</f>
        <v>-12.5</v>
      </c>
      <c r="J16" s="41">
        <f>((39)/(2))*(-1)</f>
        <v>-19.5</v>
      </c>
      <c r="K16" s="41">
        <f>((62)/(2))*(-1)</f>
        <v>-31</v>
      </c>
      <c r="L16" s="41">
        <f>((100)/(2))*(-1)</f>
        <v>-50</v>
      </c>
      <c r="M16" s="41">
        <f>((160)/(2))*(-1)</f>
        <v>-80</v>
      </c>
      <c r="N16" s="41">
        <f>(((0.25)*(1000))/(2))*(-1)</f>
        <v>-125</v>
      </c>
      <c r="O16" s="41">
        <f>(((0.39)*(1000))/(2))*(-1)</f>
        <v>-195</v>
      </c>
      <c r="P16" s="41">
        <f>(((0.62)*(1000))/(2))*(-1)</f>
        <v>-310</v>
      </c>
      <c r="Q16" s="41">
        <f>(((1)*(1000))/(2))*(-1)</f>
        <v>-500</v>
      </c>
      <c r="R16" s="41">
        <f>(((1.6)*(1000))/(2))*(-1)</f>
        <v>-800</v>
      </c>
      <c r="S16" s="41">
        <f>(((2.5)*(1000))/(2))*(-1)</f>
        <v>-1250</v>
      </c>
      <c r="T16" s="41">
        <f>(((3.9)*(1000))/(2))*(-1)</f>
        <v>-1950</v>
      </c>
      <c r="AM16" s="1"/>
    </row>
    <row r="17" spans="1:39" ht="16.8" thickBot="1" x14ac:dyDescent="0.35">
      <c r="A17" s="61">
        <v>50</v>
      </c>
      <c r="B17" s="100">
        <v>80</v>
      </c>
      <c r="C17" s="41">
        <f t="shared" ref="C17" si="69">(2)/(2)</f>
        <v>1</v>
      </c>
      <c r="D17" s="41">
        <f t="shared" ref="D17" si="70">(3)/(2)</f>
        <v>1.5</v>
      </c>
      <c r="E17" s="41">
        <f t="shared" ref="E17" si="71">(5)/(2)</f>
        <v>2.5</v>
      </c>
      <c r="F17" s="41">
        <f t="shared" ref="F17" si="72">(8)/(2)</f>
        <v>4</v>
      </c>
      <c r="G17" s="41">
        <f t="shared" ref="G17" si="73">(13)/(2)</f>
        <v>6.5</v>
      </c>
      <c r="H17" s="41">
        <f t="shared" ref="H17" si="74">(19)/(2)</f>
        <v>9.5</v>
      </c>
      <c r="I17" s="41">
        <f t="shared" ref="I17" si="75">(30)/(2)</f>
        <v>15</v>
      </c>
      <c r="J17" s="41">
        <f t="shared" ref="J17" si="76">(46)/(2)</f>
        <v>23</v>
      </c>
      <c r="K17" s="41">
        <f t="shared" ref="K17" si="77">(74)/(2)</f>
        <v>37</v>
      </c>
      <c r="L17" s="41">
        <f t="shared" ref="L17" si="78">(120)/(2)</f>
        <v>60</v>
      </c>
      <c r="M17" s="41">
        <f t="shared" ref="M17" si="79">(190)/(2)</f>
        <v>95</v>
      </c>
      <c r="N17" s="41">
        <f t="shared" ref="N17" si="80">((0.3)*(1000))/(2)</f>
        <v>150</v>
      </c>
      <c r="O17" s="41">
        <f t="shared" ref="O17" si="81">((0.46)*(1000))/(2)</f>
        <v>230</v>
      </c>
      <c r="P17" s="41">
        <f t="shared" ref="P17" si="82">((0.74)*(1000))/(2)</f>
        <v>370</v>
      </c>
      <c r="Q17" s="41">
        <f t="shared" ref="Q17" si="83">((1.2)*(1000))/(2)</f>
        <v>600</v>
      </c>
      <c r="R17" s="41">
        <f t="shared" ref="R17" si="84">((1.9)*(1000))/(2)</f>
        <v>950</v>
      </c>
      <c r="S17" s="41">
        <f t="shared" ref="S17" si="85">((3)*(1000))/(2)</f>
        <v>1500</v>
      </c>
      <c r="T17" s="41">
        <f t="shared" ref="T17" si="86">((4.6)*(1000))/(2)</f>
        <v>2300</v>
      </c>
      <c r="AM17" s="40"/>
    </row>
    <row r="18" spans="1:39" ht="16.8" thickBot="1" x14ac:dyDescent="0.35">
      <c r="A18" s="62"/>
      <c r="B18" s="101"/>
      <c r="C18" s="41">
        <f>((2)/(2))*(-1)</f>
        <v>-1</v>
      </c>
      <c r="D18" s="41">
        <f>((3)/(2))*(-1)</f>
        <v>-1.5</v>
      </c>
      <c r="E18" s="41">
        <f>((5)/(2))*(-1)</f>
        <v>-2.5</v>
      </c>
      <c r="F18" s="41">
        <f>((8)/(2))*(-1)</f>
        <v>-4</v>
      </c>
      <c r="G18" s="41">
        <f>((13)/(2))*(-1)</f>
        <v>-6.5</v>
      </c>
      <c r="H18" s="41">
        <f>((19)/(2))*(-1)</f>
        <v>-9.5</v>
      </c>
      <c r="I18" s="41">
        <f>((30)/(2))*(-1)</f>
        <v>-15</v>
      </c>
      <c r="J18" s="41">
        <f>((46)/(2))*(-1)</f>
        <v>-23</v>
      </c>
      <c r="K18" s="41">
        <f>((74)/(2))*(-1)</f>
        <v>-37</v>
      </c>
      <c r="L18" s="41">
        <f>((120)/(2))*(-1)</f>
        <v>-60</v>
      </c>
      <c r="M18" s="41">
        <f>((190)/(2))*(-1)</f>
        <v>-95</v>
      </c>
      <c r="N18" s="41">
        <f>(((0.3)*(1000))/(2))*(-1)</f>
        <v>-150</v>
      </c>
      <c r="O18" s="41">
        <f>(((0.46)*(1000))/(2))*(-1)</f>
        <v>-230</v>
      </c>
      <c r="P18" s="41">
        <f>(((0.74)*(1000))/(2))*(-1)</f>
        <v>-370</v>
      </c>
      <c r="Q18" s="41">
        <f>(((1.2)*(1000))/(2))*(-1)</f>
        <v>-600</v>
      </c>
      <c r="R18" s="41">
        <f>(((1.9)*(1000))/(2))*(-1)</f>
        <v>-950</v>
      </c>
      <c r="S18" s="41">
        <f>(((3)*(1000))/(2))*(-1)</f>
        <v>-1500</v>
      </c>
      <c r="T18" s="41">
        <f>(((4.6)*(1000))/(2))*(-1)</f>
        <v>-2300</v>
      </c>
      <c r="AM18" s="1"/>
    </row>
    <row r="19" spans="1:39" ht="16.8" thickBot="1" x14ac:dyDescent="0.35">
      <c r="A19" s="61">
        <v>80</v>
      </c>
      <c r="B19" s="100">
        <v>120</v>
      </c>
      <c r="C19" s="41">
        <f t="shared" ref="C19" si="87">(2.5)/(2)</f>
        <v>1.25</v>
      </c>
      <c r="D19" s="41">
        <f t="shared" ref="D19" si="88">(4)/(2)</f>
        <v>2</v>
      </c>
      <c r="E19" s="41">
        <f t="shared" ref="E19" si="89">(6)/(2)</f>
        <v>3</v>
      </c>
      <c r="F19" s="41">
        <f t="shared" ref="F19" si="90">(10)/(2)</f>
        <v>5</v>
      </c>
      <c r="G19" s="41">
        <f t="shared" ref="G19" si="91">(15)/(2)</f>
        <v>7.5</v>
      </c>
      <c r="H19" s="41">
        <f t="shared" ref="H19" si="92">(22)/(2)</f>
        <v>11</v>
      </c>
      <c r="I19" s="41">
        <f t="shared" ref="I19" si="93">(35)/(2)</f>
        <v>17.5</v>
      </c>
      <c r="J19" s="41">
        <f t="shared" ref="J19" si="94">(54)/(2)</f>
        <v>27</v>
      </c>
      <c r="K19" s="41">
        <f t="shared" ref="K19" si="95">(87)/(2)</f>
        <v>43.5</v>
      </c>
      <c r="L19" s="41">
        <f t="shared" ref="L19" si="96">(140)/(2)</f>
        <v>70</v>
      </c>
      <c r="M19" s="41">
        <f t="shared" ref="M19" si="97">(220)/(2)</f>
        <v>110</v>
      </c>
      <c r="N19" s="41">
        <f t="shared" ref="N19" si="98">((0.35)*(1000))/(2)</f>
        <v>175</v>
      </c>
      <c r="O19" s="41">
        <f t="shared" ref="O19" si="99">((0.54)*(1000))/(2)</f>
        <v>270</v>
      </c>
      <c r="P19" s="41">
        <f t="shared" ref="P19" si="100">((0.87)*(1000))/(2)</f>
        <v>435</v>
      </c>
      <c r="Q19" s="41">
        <f t="shared" ref="Q19" si="101">((1.4)*(1000))/(2)</f>
        <v>700</v>
      </c>
      <c r="R19" s="41">
        <f t="shared" ref="R19" si="102">((2.2)*(1000))/(2)</f>
        <v>1100</v>
      </c>
      <c r="S19" s="41">
        <f t="shared" ref="S19" si="103">((3.5)*(1000))/(2)</f>
        <v>1750</v>
      </c>
      <c r="T19" s="41">
        <f t="shared" ref="T19" si="104">((5.4)*(1000))/(2)</f>
        <v>2700</v>
      </c>
      <c r="AM19" s="1"/>
    </row>
    <row r="20" spans="1:39" ht="16.8" thickBot="1" x14ac:dyDescent="0.35">
      <c r="A20" s="62"/>
      <c r="B20" s="101"/>
      <c r="C20" s="41">
        <f>((2.5)/(2))*(-1)</f>
        <v>-1.25</v>
      </c>
      <c r="D20" s="41">
        <f>((4)/(2))*(-1)</f>
        <v>-2</v>
      </c>
      <c r="E20" s="41">
        <f>((6)/(2))*(-1)</f>
        <v>-3</v>
      </c>
      <c r="F20" s="41">
        <f>((10)/(2))*(-1)</f>
        <v>-5</v>
      </c>
      <c r="G20" s="41">
        <f>((15)/(2))*(-1)</f>
        <v>-7.5</v>
      </c>
      <c r="H20" s="41">
        <f>((22)/(2))*(-1)</f>
        <v>-11</v>
      </c>
      <c r="I20" s="41">
        <f>((35)/(2))*(-1)</f>
        <v>-17.5</v>
      </c>
      <c r="J20" s="41">
        <f>((54)/(2))*(-1)</f>
        <v>-27</v>
      </c>
      <c r="K20" s="41">
        <f>((87)/(2))*(-1)</f>
        <v>-43.5</v>
      </c>
      <c r="L20" s="41">
        <f>((140)/(2))*(-1)</f>
        <v>-70</v>
      </c>
      <c r="M20" s="41">
        <f>((220)/(2))*(-1)</f>
        <v>-110</v>
      </c>
      <c r="N20" s="41">
        <f>(((0.35)*(1000))/(2))*(-1)</f>
        <v>-175</v>
      </c>
      <c r="O20" s="41">
        <f>(((0.54)*(1000))/(2))*(-1)</f>
        <v>-270</v>
      </c>
      <c r="P20" s="41">
        <f>(((0.87)*(1000))/(2))*(-1)</f>
        <v>-435</v>
      </c>
      <c r="Q20" s="41">
        <f>(((1.4)*(1000))/(2))*(-1)</f>
        <v>-700</v>
      </c>
      <c r="R20" s="41">
        <f>(((2.2)*(1000))/(2))*(-1)</f>
        <v>-1100</v>
      </c>
      <c r="S20" s="41">
        <f>(((3.5)*(1000))/(2))*(-1)</f>
        <v>-1750</v>
      </c>
      <c r="T20" s="41">
        <f>(((5.4)*(1000))/(2))*(-1)</f>
        <v>-2700</v>
      </c>
      <c r="AM20" s="1"/>
    </row>
    <row r="21" spans="1:39" ht="16.8" thickBot="1" x14ac:dyDescent="0.35">
      <c r="A21" s="61">
        <v>120</v>
      </c>
      <c r="B21" s="100">
        <v>180</v>
      </c>
      <c r="C21" s="41">
        <f t="shared" ref="C21" si="105">(3.5)/(2)</f>
        <v>1.75</v>
      </c>
      <c r="D21" s="41">
        <f t="shared" ref="D21" si="106">(5)/(2)</f>
        <v>2.5</v>
      </c>
      <c r="E21" s="41">
        <f t="shared" ref="E21" si="107">(8)/(2)</f>
        <v>4</v>
      </c>
      <c r="F21" s="41">
        <f t="shared" ref="F21" si="108">(12)/(2)</f>
        <v>6</v>
      </c>
      <c r="G21" s="41">
        <f t="shared" ref="G21" si="109">(18)/(2)</f>
        <v>9</v>
      </c>
      <c r="H21" s="41">
        <f t="shared" ref="H21" si="110">(25)/(2)</f>
        <v>12.5</v>
      </c>
      <c r="I21" s="41">
        <f t="shared" ref="I21" si="111">(40)/(2)</f>
        <v>20</v>
      </c>
      <c r="J21" s="41">
        <f t="shared" ref="J21" si="112">(63)/(2)</f>
        <v>31.5</v>
      </c>
      <c r="K21" s="41">
        <f t="shared" ref="K21" si="113">(100)/(2)</f>
        <v>50</v>
      </c>
      <c r="L21" s="41">
        <f t="shared" ref="L21" si="114">(160)/(2)</f>
        <v>80</v>
      </c>
      <c r="M21" s="41">
        <f t="shared" ref="M21" si="115">(250)/(2)</f>
        <v>125</v>
      </c>
      <c r="N21" s="41">
        <f t="shared" ref="N21" si="116">((0.4)*(1000))/(2)</f>
        <v>200</v>
      </c>
      <c r="O21" s="41">
        <f t="shared" ref="O21" si="117">((0.63)*(1000))/(2)</f>
        <v>315</v>
      </c>
      <c r="P21" s="41">
        <f t="shared" ref="P21" si="118">((1)*(1000))/(2)</f>
        <v>500</v>
      </c>
      <c r="Q21" s="41">
        <f t="shared" ref="Q21" si="119">((1.6)*(1000))/(2)</f>
        <v>800</v>
      </c>
      <c r="R21" s="41">
        <f t="shared" ref="R21" si="120">((2.5)*(1000))/(2)</f>
        <v>1250</v>
      </c>
      <c r="S21" s="41">
        <f t="shared" ref="S21" si="121">((4)*(1000))/(2)</f>
        <v>2000</v>
      </c>
      <c r="T21" s="41">
        <f t="shared" ref="T21" si="122">((6.3)*(1000))/(2)</f>
        <v>3150</v>
      </c>
      <c r="AM21" s="1"/>
    </row>
    <row r="22" spans="1:39" ht="16.8" thickBot="1" x14ac:dyDescent="0.35">
      <c r="A22" s="62"/>
      <c r="B22" s="101"/>
      <c r="C22" s="41">
        <f>((3.5)/(2))*(-1)</f>
        <v>-1.75</v>
      </c>
      <c r="D22" s="41">
        <f>((5)/(2))*(-1)</f>
        <v>-2.5</v>
      </c>
      <c r="E22" s="41">
        <f>((8)/(2))*(-1)</f>
        <v>-4</v>
      </c>
      <c r="F22" s="41">
        <f>((12)/(2))*(-1)</f>
        <v>-6</v>
      </c>
      <c r="G22" s="41">
        <f>((18)/(2))*(-1)</f>
        <v>-9</v>
      </c>
      <c r="H22" s="41">
        <f>((25)/(2))*(-1)</f>
        <v>-12.5</v>
      </c>
      <c r="I22" s="41">
        <f>((40)/(2))*(-1)</f>
        <v>-20</v>
      </c>
      <c r="J22" s="41">
        <f>((63)/(2))*(-1)</f>
        <v>-31.5</v>
      </c>
      <c r="K22" s="41">
        <f>((100)/(2))*(-1)</f>
        <v>-50</v>
      </c>
      <c r="L22" s="41">
        <f>((160)/(2))*(-1)</f>
        <v>-80</v>
      </c>
      <c r="M22" s="41">
        <f>((250)/(2))*(-1)</f>
        <v>-125</v>
      </c>
      <c r="N22" s="41">
        <f>(((0.4)*(1000))/(2))*(-1)</f>
        <v>-200</v>
      </c>
      <c r="O22" s="41">
        <f>(((0.63)*(1000))/(2))*(-1)</f>
        <v>-315</v>
      </c>
      <c r="P22" s="41">
        <f>(((1)*(1000))/(2))*(-1)</f>
        <v>-500</v>
      </c>
      <c r="Q22" s="41">
        <f>(((1.6)*(1000))/(2))*(-1)</f>
        <v>-800</v>
      </c>
      <c r="R22" s="41">
        <f>(((2.5)*(1000))/(2))*(-1)</f>
        <v>-1250</v>
      </c>
      <c r="S22" s="41">
        <f>(((4)*(1000))/(2))*(-1)</f>
        <v>-2000</v>
      </c>
      <c r="T22" s="41">
        <f>(((6.3)*(1000))/(2))*(-1)</f>
        <v>-3150</v>
      </c>
      <c r="AM22" s="1"/>
    </row>
    <row r="23" spans="1:39" ht="16.8" thickBot="1" x14ac:dyDescent="0.35">
      <c r="A23" s="61">
        <v>180</v>
      </c>
      <c r="B23" s="100">
        <v>250</v>
      </c>
      <c r="C23" s="41">
        <f t="shared" ref="C23" si="123">(4.5)/(2)</f>
        <v>2.25</v>
      </c>
      <c r="D23" s="41">
        <f t="shared" ref="D23" si="124">(7)/(2)</f>
        <v>3.5</v>
      </c>
      <c r="E23" s="41">
        <f t="shared" ref="E23" si="125">(10)/(2)</f>
        <v>5</v>
      </c>
      <c r="F23" s="41">
        <f t="shared" ref="F23" si="126">(14)/(2)</f>
        <v>7</v>
      </c>
      <c r="G23" s="41">
        <f t="shared" ref="G23" si="127">(20)/(2)</f>
        <v>10</v>
      </c>
      <c r="H23" s="41">
        <f t="shared" ref="H23" si="128">(29)/(2)</f>
        <v>14.5</v>
      </c>
      <c r="I23" s="41">
        <f t="shared" ref="I23" si="129">(46)/(2)</f>
        <v>23</v>
      </c>
      <c r="J23" s="41">
        <f t="shared" ref="J23" si="130">(72)/(2)</f>
        <v>36</v>
      </c>
      <c r="K23" s="41">
        <f t="shared" ref="K23" si="131">(115)/(2)</f>
        <v>57.5</v>
      </c>
      <c r="L23" s="41">
        <f t="shared" ref="L23" si="132">(185)/(2)</f>
        <v>92.5</v>
      </c>
      <c r="M23" s="41">
        <f t="shared" ref="M23" si="133">(290)/(2)</f>
        <v>145</v>
      </c>
      <c r="N23" s="41">
        <f t="shared" ref="N23" si="134">((0.46)*(1000))/(2)</f>
        <v>230</v>
      </c>
      <c r="O23" s="41">
        <f t="shared" ref="O23" si="135">((0.72)*(1000))/(2)</f>
        <v>360</v>
      </c>
      <c r="P23" s="41">
        <f t="shared" ref="P23" si="136">((1.15)*(1000))/(2)</f>
        <v>575</v>
      </c>
      <c r="Q23" s="41">
        <f t="shared" ref="Q23" si="137">((1.85)*(1000))/(2)</f>
        <v>925</v>
      </c>
      <c r="R23" s="41">
        <f t="shared" ref="R23" si="138">((2.9)*(1000))/(2)</f>
        <v>1450</v>
      </c>
      <c r="S23" s="41">
        <f t="shared" ref="S23" si="139">((4.6)*(1000))/(2)</f>
        <v>2300</v>
      </c>
      <c r="T23" s="41">
        <f t="shared" ref="T23" si="140">((7.2)*(1000))/(2)</f>
        <v>3600</v>
      </c>
      <c r="AM23" s="1"/>
    </row>
    <row r="24" spans="1:39" ht="16.8" thickBot="1" x14ac:dyDescent="0.35">
      <c r="A24" s="62"/>
      <c r="B24" s="101"/>
      <c r="C24" s="41">
        <f>((4.5)/(2))*(-1)</f>
        <v>-2.25</v>
      </c>
      <c r="D24" s="41">
        <f>((7)/(2))*(-1)</f>
        <v>-3.5</v>
      </c>
      <c r="E24" s="41">
        <f>((10)/(2))*(-1)</f>
        <v>-5</v>
      </c>
      <c r="F24" s="41">
        <f>((14)/(2))*(-1)</f>
        <v>-7</v>
      </c>
      <c r="G24" s="41">
        <f>((20)/(2))*(-1)</f>
        <v>-10</v>
      </c>
      <c r="H24" s="41">
        <f>((29)/(2))*(-1)</f>
        <v>-14.5</v>
      </c>
      <c r="I24" s="41">
        <f>((46)/(2))*(-1)</f>
        <v>-23</v>
      </c>
      <c r="J24" s="41">
        <f>((72)/(2))*(-1)</f>
        <v>-36</v>
      </c>
      <c r="K24" s="41">
        <f>((115)/(2))*(-1)</f>
        <v>-57.5</v>
      </c>
      <c r="L24" s="41">
        <f>((185)/(2))*(-1)</f>
        <v>-92.5</v>
      </c>
      <c r="M24" s="41">
        <f>((290)/(2))*(-1)</f>
        <v>-145</v>
      </c>
      <c r="N24" s="41">
        <f>(((0.46)*(1000))/(2))*(-1)</f>
        <v>-230</v>
      </c>
      <c r="O24" s="41">
        <f>(((0.72)*(1000))/(2))*(-1)</f>
        <v>-360</v>
      </c>
      <c r="P24" s="41">
        <f>(((1.15)*(1000))/(2))*(-1)</f>
        <v>-575</v>
      </c>
      <c r="Q24" s="41">
        <f>(((1.85)*(1000))/(2))*(-1)</f>
        <v>-925</v>
      </c>
      <c r="R24" s="41">
        <f>(((2.9)*(1000))/(2))*(-1)</f>
        <v>-1450</v>
      </c>
      <c r="S24" s="41">
        <f>(((4.6)*(1000))/(2))*(-1)</f>
        <v>-2300</v>
      </c>
      <c r="T24" s="41">
        <f>(((7.2)*(1000))/(2))*(-1)</f>
        <v>-3600</v>
      </c>
      <c r="AM24" s="1"/>
    </row>
    <row r="25" spans="1:39" ht="16.8" thickBot="1" x14ac:dyDescent="0.35">
      <c r="A25" s="61">
        <v>250</v>
      </c>
      <c r="B25" s="100">
        <v>315</v>
      </c>
      <c r="C25" s="41">
        <f t="shared" ref="C25" si="141">(6)/(2)</f>
        <v>3</v>
      </c>
      <c r="D25" s="41">
        <f t="shared" ref="D25" si="142">(8)/(2)</f>
        <v>4</v>
      </c>
      <c r="E25" s="41">
        <f t="shared" ref="E25" si="143">(12)/(2)</f>
        <v>6</v>
      </c>
      <c r="F25" s="41">
        <f t="shared" ref="F25" si="144">(16)/(2)</f>
        <v>8</v>
      </c>
      <c r="G25" s="41">
        <f t="shared" ref="G25" si="145">(23)/(2)</f>
        <v>11.5</v>
      </c>
      <c r="H25" s="41">
        <f t="shared" ref="H25" si="146">(32)/(2)</f>
        <v>16</v>
      </c>
      <c r="I25" s="41">
        <f t="shared" ref="I25" si="147">(52)/(2)</f>
        <v>26</v>
      </c>
      <c r="J25" s="41">
        <f t="shared" ref="J25" si="148">(81)/(2)</f>
        <v>40.5</v>
      </c>
      <c r="K25" s="41">
        <f t="shared" ref="K25" si="149">(130)/(2)</f>
        <v>65</v>
      </c>
      <c r="L25" s="41">
        <f t="shared" ref="L25" si="150">(210)/(2)</f>
        <v>105</v>
      </c>
      <c r="M25" s="41">
        <f t="shared" ref="M25" si="151">(320)/(2)</f>
        <v>160</v>
      </c>
      <c r="N25" s="41">
        <f t="shared" ref="N25" si="152">((0.52)*(1000))/(2)</f>
        <v>260</v>
      </c>
      <c r="O25" s="41">
        <f t="shared" ref="O25" si="153">((0.81)*(1000))/(2)</f>
        <v>405</v>
      </c>
      <c r="P25" s="41">
        <f t="shared" ref="P25" si="154">((1.3)*(1000))/(2)</f>
        <v>650</v>
      </c>
      <c r="Q25" s="41">
        <f t="shared" ref="Q25" si="155">((2.1)*(1000))/(2)</f>
        <v>1050</v>
      </c>
      <c r="R25" s="41">
        <f t="shared" ref="R25" si="156">((3.2)*(1000))/(2)</f>
        <v>1600</v>
      </c>
      <c r="S25" s="41">
        <f t="shared" ref="S25" si="157">((5.2)*(1000))/(2)</f>
        <v>2600</v>
      </c>
      <c r="T25" s="41">
        <f t="shared" ref="T25" si="158">((8.1)*(1000))/(2)</f>
        <v>4050</v>
      </c>
      <c r="AM25" s="1"/>
    </row>
    <row r="26" spans="1:39" ht="16.2" customHeight="1" thickBot="1" x14ac:dyDescent="0.35">
      <c r="A26" s="62"/>
      <c r="B26" s="101"/>
      <c r="C26" s="41">
        <f>((6)/(2))*(-1)</f>
        <v>-3</v>
      </c>
      <c r="D26" s="41">
        <f>((8)/(2))*(-1)</f>
        <v>-4</v>
      </c>
      <c r="E26" s="41">
        <f>((12)/(2))*(-1)</f>
        <v>-6</v>
      </c>
      <c r="F26" s="41">
        <f>((16)/(2))*(-1)</f>
        <v>-8</v>
      </c>
      <c r="G26" s="41">
        <f>((23)/(2))*(-1)</f>
        <v>-11.5</v>
      </c>
      <c r="H26" s="41">
        <f>((32)/(2))*(-1)</f>
        <v>-16</v>
      </c>
      <c r="I26" s="41">
        <f>((52)/(2))*(-1)</f>
        <v>-26</v>
      </c>
      <c r="J26" s="41">
        <f>((81)/(2))*(-1)</f>
        <v>-40.5</v>
      </c>
      <c r="K26" s="41">
        <f>((130)/(2))*(-1)</f>
        <v>-65</v>
      </c>
      <c r="L26" s="41">
        <f>((210)/(2))*(-1)</f>
        <v>-105</v>
      </c>
      <c r="M26" s="41">
        <f>((320)/(2))*(-1)</f>
        <v>-160</v>
      </c>
      <c r="N26" s="41">
        <f>(((0.52)*(1000))/(2))*(-1)</f>
        <v>-260</v>
      </c>
      <c r="O26" s="41">
        <f>(((0.81)*(1000))/(2))*(-1)</f>
        <v>-405</v>
      </c>
      <c r="P26" s="41">
        <f>(((1.3)*(1000))/(2))*(-1)</f>
        <v>-650</v>
      </c>
      <c r="Q26" s="41">
        <f>(((2.1)*(1000))/(2))*(-1)</f>
        <v>-1050</v>
      </c>
      <c r="R26" s="41">
        <f>(((3.2)*(1000))/(2))*(-1)</f>
        <v>-1600</v>
      </c>
      <c r="S26" s="41">
        <f>(((5.2)*(1000))/(2))*(-1)</f>
        <v>-2600</v>
      </c>
      <c r="T26" s="41">
        <f>(((8.1)*(1000))/(2))*(-1)</f>
        <v>-4050</v>
      </c>
    </row>
    <row r="27" spans="1:39" ht="16.8" thickBot="1" x14ac:dyDescent="0.35">
      <c r="A27" s="61">
        <v>315</v>
      </c>
      <c r="B27" s="100">
        <v>400</v>
      </c>
      <c r="C27" s="41">
        <f t="shared" ref="C27" si="159">(7)/(2)</f>
        <v>3.5</v>
      </c>
      <c r="D27" s="41">
        <f t="shared" ref="D27" si="160">(9)/(2)</f>
        <v>4.5</v>
      </c>
      <c r="E27" s="41">
        <f t="shared" ref="E27" si="161">(13)/(2)</f>
        <v>6.5</v>
      </c>
      <c r="F27" s="41">
        <f t="shared" ref="F27" si="162">(18)/(2)</f>
        <v>9</v>
      </c>
      <c r="G27" s="41">
        <f t="shared" ref="G27" si="163">(25)/(2)</f>
        <v>12.5</v>
      </c>
      <c r="H27" s="41">
        <f t="shared" ref="H27" si="164">(36)/(2)</f>
        <v>18</v>
      </c>
      <c r="I27" s="41">
        <f t="shared" ref="I27" si="165">(57)/(2)</f>
        <v>28.5</v>
      </c>
      <c r="J27" s="41">
        <f t="shared" ref="J27" si="166">(89)/(2)</f>
        <v>44.5</v>
      </c>
      <c r="K27" s="41">
        <f t="shared" ref="K27" si="167">(140)/(2)</f>
        <v>70</v>
      </c>
      <c r="L27" s="41">
        <f t="shared" ref="L27" si="168">(230)/(2)</f>
        <v>115</v>
      </c>
      <c r="M27" s="41">
        <f t="shared" ref="M27" si="169">(360)/(2)</f>
        <v>180</v>
      </c>
      <c r="N27" s="41">
        <f t="shared" ref="N27" si="170">((0.57)*(1000))/(2)</f>
        <v>285</v>
      </c>
      <c r="O27" s="41">
        <f t="shared" ref="O27" si="171">((0.89)*(1000))/(2)</f>
        <v>445</v>
      </c>
      <c r="P27" s="41">
        <f t="shared" ref="P27" si="172">((1.4)*(1000))/(2)</f>
        <v>700</v>
      </c>
      <c r="Q27" s="41">
        <f t="shared" ref="Q27" si="173">((2.3)*(1000))/(2)</f>
        <v>1150</v>
      </c>
      <c r="R27" s="41">
        <f t="shared" ref="R27" si="174">((3.6)*(1000))/(2)</f>
        <v>1800</v>
      </c>
      <c r="S27" s="41">
        <f t="shared" ref="S27" si="175">((5.7)*(1000))/(2)</f>
        <v>2850</v>
      </c>
      <c r="T27" s="41">
        <f t="shared" ref="T27" si="176">((8.9)*(1000))/(2)</f>
        <v>4450</v>
      </c>
    </row>
    <row r="28" spans="1:39" ht="19.2" customHeight="1" thickBot="1" x14ac:dyDescent="0.35">
      <c r="A28" s="62"/>
      <c r="B28" s="101"/>
      <c r="C28" s="41">
        <f>((7)/(2))*(-1)</f>
        <v>-3.5</v>
      </c>
      <c r="D28" s="41">
        <f>((9)/(2))*(-1)</f>
        <v>-4.5</v>
      </c>
      <c r="E28" s="41">
        <f>((13)/(2))*(-1)</f>
        <v>-6.5</v>
      </c>
      <c r="F28" s="41">
        <f>((18)/(2))*(-1)</f>
        <v>-9</v>
      </c>
      <c r="G28" s="41">
        <f>((25)/(2))*(-1)</f>
        <v>-12.5</v>
      </c>
      <c r="H28" s="41">
        <f>((36)/(2))*(-1)</f>
        <v>-18</v>
      </c>
      <c r="I28" s="41">
        <f>((57)/(2))*(-1)</f>
        <v>-28.5</v>
      </c>
      <c r="J28" s="41">
        <f>((89)/(2))*(-1)</f>
        <v>-44.5</v>
      </c>
      <c r="K28" s="41">
        <f>((140)/(2))*(-1)</f>
        <v>-70</v>
      </c>
      <c r="L28" s="41">
        <f>((230)/(2))*(-1)</f>
        <v>-115</v>
      </c>
      <c r="M28" s="41">
        <f>((360)/(2))*(-1)</f>
        <v>-180</v>
      </c>
      <c r="N28" s="41">
        <f>(((0.57)*(1000))/(2))*(-1)</f>
        <v>-285</v>
      </c>
      <c r="O28" s="41">
        <f>(((0.89)*(1000))/(2))*(-1)</f>
        <v>-445</v>
      </c>
      <c r="P28" s="41">
        <f>(((1.4)*(1000))/(2))*(-1)</f>
        <v>-700</v>
      </c>
      <c r="Q28" s="41">
        <f>(((2.3)*(1000))/(2))*(-1)</f>
        <v>-1150</v>
      </c>
      <c r="R28" s="41">
        <f>(((3.6)*(1000))/(2))*(-1)</f>
        <v>-1800</v>
      </c>
      <c r="S28" s="41">
        <f>(((5.7)*(1000))/(2))*(-1)</f>
        <v>-2850</v>
      </c>
      <c r="T28" s="41">
        <f>(((8.9)*(1000))/(2))*(-1)</f>
        <v>-4450</v>
      </c>
    </row>
    <row r="29" spans="1:39" ht="16.8" thickBot="1" x14ac:dyDescent="0.35">
      <c r="A29" s="61">
        <v>400</v>
      </c>
      <c r="B29" s="100">
        <v>500</v>
      </c>
      <c r="C29" s="41">
        <f t="shared" ref="C29" si="177">(8)/(2)</f>
        <v>4</v>
      </c>
      <c r="D29" s="41">
        <f t="shared" ref="D29" si="178">(10)/(2)</f>
        <v>5</v>
      </c>
      <c r="E29" s="41">
        <f t="shared" ref="E29" si="179">(15)/(2)</f>
        <v>7.5</v>
      </c>
      <c r="F29" s="41">
        <f t="shared" ref="F29" si="180">(20)/(2)</f>
        <v>10</v>
      </c>
      <c r="G29" s="41">
        <f t="shared" ref="G29" si="181">(27)/(2)</f>
        <v>13.5</v>
      </c>
      <c r="H29" s="41">
        <f t="shared" ref="H29" si="182">(40)/(2)</f>
        <v>20</v>
      </c>
      <c r="I29" s="41">
        <f t="shared" ref="I29" si="183">(63)/(2)</f>
        <v>31.5</v>
      </c>
      <c r="J29" s="41">
        <f t="shared" ref="J29" si="184">(97)/(2)</f>
        <v>48.5</v>
      </c>
      <c r="K29" s="41">
        <f t="shared" ref="K29" si="185">(155)/(2)</f>
        <v>77.5</v>
      </c>
      <c r="L29" s="41">
        <f t="shared" ref="L29" si="186">(250)/(2)</f>
        <v>125</v>
      </c>
      <c r="M29" s="41">
        <f t="shared" ref="M29" si="187">(400)/(2)</f>
        <v>200</v>
      </c>
      <c r="N29" s="41">
        <f t="shared" ref="N29" si="188">((0.63)*(1000))/(2)</f>
        <v>315</v>
      </c>
      <c r="O29" s="41">
        <f t="shared" ref="O29" si="189">((0.97)*(1000))/(2)</f>
        <v>485</v>
      </c>
      <c r="P29" s="41">
        <f t="shared" ref="P29" si="190">((1.55)*(1000))/(2)</f>
        <v>775</v>
      </c>
      <c r="Q29" s="41">
        <f t="shared" ref="Q29" si="191">((2.5)*(1000))/(2)</f>
        <v>1250</v>
      </c>
      <c r="R29" s="41">
        <f t="shared" ref="R29" si="192">((4)*(1000))/(2)</f>
        <v>2000</v>
      </c>
      <c r="S29" s="41">
        <f t="shared" ref="S29" si="193">((6.3)*(1000))/(2)</f>
        <v>3150</v>
      </c>
      <c r="T29" s="41">
        <f t="shared" ref="T29" si="194">((9.7)*(1000))/(2)</f>
        <v>4850</v>
      </c>
    </row>
    <row r="30" spans="1:39" ht="16.8" thickBot="1" x14ac:dyDescent="0.35">
      <c r="A30" s="62"/>
      <c r="B30" s="101"/>
      <c r="C30" s="41">
        <f>((8)/(2))*(-1)</f>
        <v>-4</v>
      </c>
      <c r="D30" s="41">
        <f>((10)/(2))*(-1)</f>
        <v>-5</v>
      </c>
      <c r="E30" s="41">
        <f>((15)/(2))*(-1)</f>
        <v>-7.5</v>
      </c>
      <c r="F30" s="41">
        <f>((20)/(2))*(-1)</f>
        <v>-10</v>
      </c>
      <c r="G30" s="41">
        <f>((27)/(2))*(-1)</f>
        <v>-13.5</v>
      </c>
      <c r="H30" s="41">
        <f>((40)/(2))*(-1)</f>
        <v>-20</v>
      </c>
      <c r="I30" s="41">
        <f>((63)/(2))*(-1)</f>
        <v>-31.5</v>
      </c>
      <c r="J30" s="41">
        <f>((97)/(2))*(-1)</f>
        <v>-48.5</v>
      </c>
      <c r="K30" s="41">
        <f>((155)/(2))*(-1)</f>
        <v>-77.5</v>
      </c>
      <c r="L30" s="41">
        <f>((250)/(2))*(-1)</f>
        <v>-125</v>
      </c>
      <c r="M30" s="41">
        <f>((400)/(2))*(-1)</f>
        <v>-200</v>
      </c>
      <c r="N30" s="41">
        <f>(((0.63)*(1000))/(2))*(-1)</f>
        <v>-315</v>
      </c>
      <c r="O30" s="41">
        <f>(((0.97)*(1000))/(2))*(-1)</f>
        <v>-485</v>
      </c>
      <c r="P30" s="41">
        <f>(((1.55)*(1000))/(2))*(-1)</f>
        <v>-775</v>
      </c>
      <c r="Q30" s="41">
        <f>(((2.5)*(1000))/(2))*(-1)</f>
        <v>-1250</v>
      </c>
      <c r="R30" s="41">
        <f>(((4)*(1000))/(2))*(-1)</f>
        <v>-2000</v>
      </c>
      <c r="S30" s="41">
        <f>(((6.3)*(1000))/(2))*(-1)</f>
        <v>-3150</v>
      </c>
      <c r="T30" s="41">
        <f>(((9.7)*(1000))/(2))*(-1)</f>
        <v>-4850</v>
      </c>
    </row>
    <row r="31" spans="1:39" ht="16.8" thickBot="1" x14ac:dyDescent="0.35">
      <c r="A31" s="61">
        <v>500</v>
      </c>
      <c r="B31" s="100">
        <v>630</v>
      </c>
      <c r="C31" s="41">
        <f t="shared" ref="C31" si="195">(9)/(2)</f>
        <v>4.5</v>
      </c>
      <c r="D31" s="41">
        <f t="shared" ref="D31" si="196">(11)/(2)</f>
        <v>5.5</v>
      </c>
      <c r="E31" s="41">
        <f t="shared" ref="E31" si="197">(16)/(2)</f>
        <v>8</v>
      </c>
      <c r="F31" s="41">
        <f t="shared" ref="F31" si="198">(22)/(2)</f>
        <v>11</v>
      </c>
      <c r="G31" s="41">
        <f t="shared" ref="G31" si="199">(32)/(2)</f>
        <v>16</v>
      </c>
      <c r="H31" s="41">
        <f t="shared" ref="H31" si="200">(44)/(2)</f>
        <v>22</v>
      </c>
      <c r="I31" s="41">
        <f t="shared" ref="I31" si="201">(70)/(2)</f>
        <v>35</v>
      </c>
      <c r="J31" s="41">
        <f t="shared" ref="J31" si="202">(110)/(2)</f>
        <v>55</v>
      </c>
      <c r="K31" s="41">
        <f t="shared" ref="K31" si="203">(175)/(2)</f>
        <v>87.5</v>
      </c>
      <c r="L31" s="41">
        <f t="shared" ref="L31" si="204">(280)/(2)</f>
        <v>140</v>
      </c>
      <c r="M31" s="41">
        <f t="shared" ref="M31" si="205">(440)/(2)</f>
        <v>220</v>
      </c>
      <c r="N31" s="41">
        <f t="shared" ref="N31" si="206">((0.7)*(1000))/(2)</f>
        <v>350</v>
      </c>
      <c r="O31" s="41">
        <f t="shared" ref="O31" si="207">((1.1)*(1000))/(2)</f>
        <v>550</v>
      </c>
      <c r="P31" s="41">
        <f t="shared" ref="P31" si="208">((1.75)*(1000))/(2)</f>
        <v>875</v>
      </c>
      <c r="Q31" s="41">
        <f t="shared" ref="Q31" si="209">((2.8)*(1000))/(2)</f>
        <v>1400</v>
      </c>
      <c r="R31" s="41">
        <f t="shared" ref="R31" si="210">((4.4)*(1000))/(2)</f>
        <v>2200</v>
      </c>
      <c r="S31" s="41">
        <f t="shared" ref="S31" si="211">((7)*(1000))/(2)</f>
        <v>3500</v>
      </c>
      <c r="T31" s="41">
        <f t="shared" ref="T31" si="212">((11)*(1000))/(2)</f>
        <v>5500</v>
      </c>
    </row>
    <row r="32" spans="1:39" ht="16.8" thickBot="1" x14ac:dyDescent="0.35">
      <c r="A32" s="62"/>
      <c r="B32" s="101"/>
      <c r="C32" s="41">
        <f>((9)/(2))*(-1)</f>
        <v>-4.5</v>
      </c>
      <c r="D32" s="41">
        <f>((11)/(2))*(-1)</f>
        <v>-5.5</v>
      </c>
      <c r="E32" s="41">
        <f>((16)/(2))*(-1)</f>
        <v>-8</v>
      </c>
      <c r="F32" s="41">
        <f>((22)/(2))*(-1)</f>
        <v>-11</v>
      </c>
      <c r="G32" s="41">
        <f>((32)/(2))*(-1)</f>
        <v>-16</v>
      </c>
      <c r="H32" s="41">
        <f>((44)/(2))*(-1)</f>
        <v>-22</v>
      </c>
      <c r="I32" s="41">
        <f>((70)/(2))*(-1)</f>
        <v>-35</v>
      </c>
      <c r="J32" s="41">
        <f>((110)/(2))*(-1)</f>
        <v>-55</v>
      </c>
      <c r="K32" s="41">
        <f>((175)/(2))*(-1)</f>
        <v>-87.5</v>
      </c>
      <c r="L32" s="41">
        <f>((280)/(2))*(-1)</f>
        <v>-140</v>
      </c>
      <c r="M32" s="41">
        <f>((440)/(2))*(-1)</f>
        <v>-220</v>
      </c>
      <c r="N32" s="41">
        <f>(((0.7)*(1000))/(2))*(-1)</f>
        <v>-350</v>
      </c>
      <c r="O32" s="41">
        <f>(((1.1)*(1000))/(2))*(-1)</f>
        <v>-550</v>
      </c>
      <c r="P32" s="41">
        <f>(((1.75)*(1000))/(2))*(-1)</f>
        <v>-875</v>
      </c>
      <c r="Q32" s="41">
        <f>(((2.8)*(1000))/(2))*(-1)</f>
        <v>-1400</v>
      </c>
      <c r="R32" s="41">
        <f>(((4.4)*(1000))/(2))*(-1)</f>
        <v>-2200</v>
      </c>
      <c r="S32" s="41">
        <f>(((7)*(1000))/(2))*(-1)</f>
        <v>-3500</v>
      </c>
      <c r="T32" s="41">
        <f>(((11)*(1000))/(2))*(-1)</f>
        <v>-5500</v>
      </c>
    </row>
    <row r="33" spans="1:20" ht="16.8" thickBot="1" x14ac:dyDescent="0.35">
      <c r="A33" s="61">
        <v>630</v>
      </c>
      <c r="B33" s="100">
        <v>800</v>
      </c>
      <c r="C33" s="41">
        <f t="shared" ref="C33" si="213">(10)/(2)</f>
        <v>5</v>
      </c>
      <c r="D33" s="41">
        <f t="shared" ref="D33" si="214">(13)/(2)</f>
        <v>6.5</v>
      </c>
      <c r="E33" s="41">
        <f t="shared" ref="E33" si="215">(18)/(2)</f>
        <v>9</v>
      </c>
      <c r="F33" s="41">
        <f t="shared" ref="F33" si="216">(25)/(2)</f>
        <v>12.5</v>
      </c>
      <c r="G33" s="41">
        <f t="shared" ref="G33" si="217">(36)/(2)</f>
        <v>18</v>
      </c>
      <c r="H33" s="41">
        <f t="shared" ref="H33" si="218">(50)/(2)</f>
        <v>25</v>
      </c>
      <c r="I33" s="41">
        <f t="shared" ref="I33" si="219">(80)/(2)</f>
        <v>40</v>
      </c>
      <c r="J33" s="41">
        <f t="shared" ref="J33" si="220">(125)/(2)</f>
        <v>62.5</v>
      </c>
      <c r="K33" s="41">
        <f t="shared" ref="K33" si="221">(200)/(2)</f>
        <v>100</v>
      </c>
      <c r="L33" s="41">
        <f t="shared" ref="L33" si="222">(320)/(2)</f>
        <v>160</v>
      </c>
      <c r="M33" s="41">
        <f t="shared" ref="M33" si="223">(500)/(2)</f>
        <v>250</v>
      </c>
      <c r="N33" s="41">
        <f t="shared" ref="N33" si="224">((0.8)*(1000))/(2)</f>
        <v>400</v>
      </c>
      <c r="O33" s="41">
        <f t="shared" ref="O33" si="225">((1.25)*(1000))/(2)</f>
        <v>625</v>
      </c>
      <c r="P33" s="41">
        <f t="shared" ref="P33" si="226">((2)*(1000))/(2)</f>
        <v>1000</v>
      </c>
      <c r="Q33" s="41">
        <f t="shared" ref="Q33" si="227">((3.2)*(1000))/(2)</f>
        <v>1600</v>
      </c>
      <c r="R33" s="41">
        <f t="shared" ref="R33" si="228">((5)*(1000))/(2)</f>
        <v>2500</v>
      </c>
      <c r="S33" s="41">
        <f t="shared" ref="S33" si="229">((8)*(1000))/(2)</f>
        <v>4000</v>
      </c>
      <c r="T33" s="41">
        <f t="shared" ref="T33" si="230">((12.5)*(1000))/(2)</f>
        <v>6250</v>
      </c>
    </row>
    <row r="34" spans="1:20" ht="16.8" thickBot="1" x14ac:dyDescent="0.35">
      <c r="A34" s="62"/>
      <c r="B34" s="101"/>
      <c r="C34" s="41">
        <f>((10)/(2))*(-1)</f>
        <v>-5</v>
      </c>
      <c r="D34" s="41">
        <f>((13)/(2))*(-1)</f>
        <v>-6.5</v>
      </c>
      <c r="E34" s="41">
        <f>((18)/(2))*(-1)</f>
        <v>-9</v>
      </c>
      <c r="F34" s="41">
        <f>((25)/(2))*(-1)</f>
        <v>-12.5</v>
      </c>
      <c r="G34" s="41">
        <f>((36)/(2))*(-1)</f>
        <v>-18</v>
      </c>
      <c r="H34" s="41">
        <f>((50)/(2))*(-1)</f>
        <v>-25</v>
      </c>
      <c r="I34" s="41">
        <f>((80)/(2))*(-1)</f>
        <v>-40</v>
      </c>
      <c r="J34" s="41">
        <f>((125)/(2))*(-1)</f>
        <v>-62.5</v>
      </c>
      <c r="K34" s="41">
        <f>((200)/(2))*(-1)</f>
        <v>-100</v>
      </c>
      <c r="L34" s="41">
        <f>((320)/(2))*(-1)</f>
        <v>-160</v>
      </c>
      <c r="M34" s="41">
        <f>((500)/(2))*(-1)</f>
        <v>-250</v>
      </c>
      <c r="N34" s="41">
        <f>(((0.8)*(1000))/(2))*(-1)</f>
        <v>-400</v>
      </c>
      <c r="O34" s="41">
        <f>(((1.25)*(1000))/(2))*(-1)</f>
        <v>-625</v>
      </c>
      <c r="P34" s="41">
        <f>(((2)*(1000))/(2))*(-1)</f>
        <v>-1000</v>
      </c>
      <c r="Q34" s="41">
        <f>(((3.2)*(1000))/(2))*(-1)</f>
        <v>-1600</v>
      </c>
      <c r="R34" s="41">
        <f>(((5)*(1000))/(2))*(-1)</f>
        <v>-2500</v>
      </c>
      <c r="S34" s="41">
        <f>(((8)*(1000))/(2))*(-1)</f>
        <v>-4000</v>
      </c>
      <c r="T34" s="41">
        <f>(((12.5)*(1000))/(2))*(-1)</f>
        <v>-6250</v>
      </c>
    </row>
    <row r="35" spans="1:20" ht="16.8" thickBot="1" x14ac:dyDescent="0.35">
      <c r="A35" s="61">
        <v>800</v>
      </c>
      <c r="B35" s="98">
        <v>1000</v>
      </c>
      <c r="C35" s="41">
        <f t="shared" ref="C35" si="231">(11)/(2)</f>
        <v>5.5</v>
      </c>
      <c r="D35" s="41">
        <f t="shared" ref="D35" si="232">(15)/(2)</f>
        <v>7.5</v>
      </c>
      <c r="E35" s="41">
        <f t="shared" ref="E35" si="233">(21)/(2)</f>
        <v>10.5</v>
      </c>
      <c r="F35" s="41">
        <f t="shared" ref="F35" si="234">(28)/(2)</f>
        <v>14</v>
      </c>
      <c r="G35" s="41">
        <f t="shared" ref="G35" si="235">(40)/(2)</f>
        <v>20</v>
      </c>
      <c r="H35" s="41">
        <f t="shared" ref="H35" si="236">(56)/(2)</f>
        <v>28</v>
      </c>
      <c r="I35" s="41">
        <f t="shared" ref="I35" si="237">(90)/(2)</f>
        <v>45</v>
      </c>
      <c r="J35" s="41">
        <f t="shared" ref="J35" si="238">(140)/(2)</f>
        <v>70</v>
      </c>
      <c r="K35" s="41">
        <f t="shared" ref="K35" si="239">(230)/(2)</f>
        <v>115</v>
      </c>
      <c r="L35" s="41">
        <f t="shared" ref="L35" si="240">(360)/(2)</f>
        <v>180</v>
      </c>
      <c r="M35" s="41">
        <f t="shared" ref="M35" si="241">(560)/(2)</f>
        <v>280</v>
      </c>
      <c r="N35" s="41">
        <f t="shared" ref="N35" si="242">((0.9)*(1000))/(2)</f>
        <v>450</v>
      </c>
      <c r="O35" s="41">
        <f t="shared" ref="O35" si="243">((1.4)*(1000))/(2)</f>
        <v>700</v>
      </c>
      <c r="P35" s="41">
        <f t="shared" ref="P35" si="244">((2.3)*(1000))/(2)</f>
        <v>1150</v>
      </c>
      <c r="Q35" s="41">
        <f t="shared" ref="Q35" si="245">((3.6)*(1000))/(2)</f>
        <v>1800</v>
      </c>
      <c r="R35" s="41">
        <f t="shared" ref="R35" si="246">((5.6)*(1000))/(2)</f>
        <v>2800</v>
      </c>
      <c r="S35" s="41">
        <f t="shared" ref="S35" si="247">((9)*(1000))/(2)</f>
        <v>4500</v>
      </c>
      <c r="T35" s="41">
        <f t="shared" ref="T35" si="248">((14)*(1000))/(2)</f>
        <v>7000</v>
      </c>
    </row>
    <row r="36" spans="1:20" ht="16.8" thickBot="1" x14ac:dyDescent="0.35">
      <c r="A36" s="62"/>
      <c r="B36" s="99"/>
      <c r="C36" s="41">
        <f>((11)/(2))*(-1)</f>
        <v>-5.5</v>
      </c>
      <c r="D36" s="41">
        <f>((15)/(2))*(-1)</f>
        <v>-7.5</v>
      </c>
      <c r="E36" s="41">
        <f>((21)/(2))*(-1)</f>
        <v>-10.5</v>
      </c>
      <c r="F36" s="41">
        <f>((28)/(2))*(-1)</f>
        <v>-14</v>
      </c>
      <c r="G36" s="41">
        <f>((40)/(2))*(-1)</f>
        <v>-20</v>
      </c>
      <c r="H36" s="41">
        <f>((56)/(2))*(-1)</f>
        <v>-28</v>
      </c>
      <c r="I36" s="41">
        <f>((90)/(2))*(-1)</f>
        <v>-45</v>
      </c>
      <c r="J36" s="41">
        <f>((140)/(2))*(-1)</f>
        <v>-70</v>
      </c>
      <c r="K36" s="41">
        <f>((230)/(2))*(-1)</f>
        <v>-115</v>
      </c>
      <c r="L36" s="41">
        <f>((360)/(2))*(-1)</f>
        <v>-180</v>
      </c>
      <c r="M36" s="41">
        <f>((560)/(2))*(-1)</f>
        <v>-280</v>
      </c>
      <c r="N36" s="41">
        <f>(((0.9)*(1000))/(2))*(-1)</f>
        <v>-450</v>
      </c>
      <c r="O36" s="41">
        <f>(((1.4)*(1000))/(2))*(-1)</f>
        <v>-700</v>
      </c>
      <c r="P36" s="41">
        <f>(((2.3)*(1000))/(2))*(-1)</f>
        <v>-1150</v>
      </c>
      <c r="Q36" s="41">
        <f>(((3.6)*(1000))/(2))*(-1)</f>
        <v>-1800</v>
      </c>
      <c r="R36" s="41">
        <f>(((5.6)*(1000))/(2))*(-1)</f>
        <v>-2800</v>
      </c>
      <c r="S36" s="41">
        <f>(((9)*(1000))/(2))*(-1)</f>
        <v>-4500</v>
      </c>
      <c r="T36" s="41">
        <f>(((14)*(1000))/(2))*(-1)</f>
        <v>-7000</v>
      </c>
    </row>
    <row r="37" spans="1:20" ht="16.8" thickBot="1" x14ac:dyDescent="0.35">
      <c r="A37" s="96">
        <v>1000</v>
      </c>
      <c r="B37" s="98">
        <v>1250</v>
      </c>
      <c r="C37" s="41">
        <f t="shared" ref="C37" si="249">(13)/(2)</f>
        <v>6.5</v>
      </c>
      <c r="D37" s="41">
        <f t="shared" ref="D37" si="250">(18)/(2)</f>
        <v>9</v>
      </c>
      <c r="E37" s="41">
        <f t="shared" ref="E37" si="251">(24)/(2)</f>
        <v>12</v>
      </c>
      <c r="F37" s="41">
        <f t="shared" ref="F37" si="252">(33)/(2)</f>
        <v>16.5</v>
      </c>
      <c r="G37" s="41">
        <f t="shared" ref="G37" si="253">(47)/(2)</f>
        <v>23.5</v>
      </c>
      <c r="H37" s="41">
        <f t="shared" ref="H37" si="254">(66)/(2)</f>
        <v>33</v>
      </c>
      <c r="I37" s="41">
        <f t="shared" ref="I37" si="255">(105)/(2)</f>
        <v>52.5</v>
      </c>
      <c r="J37" s="41">
        <f t="shared" ref="J37" si="256">(165)/(2)</f>
        <v>82.5</v>
      </c>
      <c r="K37" s="41">
        <f t="shared" ref="K37" si="257">(260)/(2)</f>
        <v>130</v>
      </c>
      <c r="L37" s="41">
        <f t="shared" ref="L37" si="258">(420)/(2)</f>
        <v>210</v>
      </c>
      <c r="M37" s="41">
        <f t="shared" ref="M37" si="259">(660)/(2)</f>
        <v>330</v>
      </c>
      <c r="N37" s="41">
        <f t="shared" ref="N37" si="260">((1.05)*(1000))/(2)</f>
        <v>525</v>
      </c>
      <c r="O37" s="41">
        <f t="shared" ref="O37" si="261">((1.65)*(1000))/(2)</f>
        <v>825</v>
      </c>
      <c r="P37" s="41">
        <f t="shared" ref="P37" si="262">((2.6)*(1000))/(2)</f>
        <v>1300</v>
      </c>
      <c r="Q37" s="41">
        <f t="shared" ref="Q37" si="263">((4.2)*(1000))/(2)</f>
        <v>2100</v>
      </c>
      <c r="R37" s="41">
        <f t="shared" ref="R37" si="264">((6.6)*(1000))/(2)</f>
        <v>3300</v>
      </c>
      <c r="S37" s="41">
        <f t="shared" ref="S37" si="265">((10.5)*(1000))/(2)</f>
        <v>5250</v>
      </c>
      <c r="T37" s="41">
        <f t="shared" ref="T37" si="266">((16.5)*(1000))/(2)</f>
        <v>8250</v>
      </c>
    </row>
    <row r="38" spans="1:20" ht="16.8" thickBot="1" x14ac:dyDescent="0.35">
      <c r="A38" s="97"/>
      <c r="B38" s="99"/>
      <c r="C38" s="41">
        <f>((13)/(2))*(-1)</f>
        <v>-6.5</v>
      </c>
      <c r="D38" s="41">
        <f>((18)/(2))*(-1)</f>
        <v>-9</v>
      </c>
      <c r="E38" s="41">
        <f>((24)/(2))*(-1)</f>
        <v>-12</v>
      </c>
      <c r="F38" s="41">
        <f>((33)/(2))*(-1)</f>
        <v>-16.5</v>
      </c>
      <c r="G38" s="41">
        <f>((47)/(2))*(-1)</f>
        <v>-23.5</v>
      </c>
      <c r="H38" s="41">
        <f>((66)/(2))*(-1)</f>
        <v>-33</v>
      </c>
      <c r="I38" s="41">
        <f>((105)/(2))*(-1)</f>
        <v>-52.5</v>
      </c>
      <c r="J38" s="41">
        <f>((165)/(2))*(-1)</f>
        <v>-82.5</v>
      </c>
      <c r="K38" s="41">
        <f>((260)/(2))*(-1)</f>
        <v>-130</v>
      </c>
      <c r="L38" s="41">
        <f>((420)/(2))*(-1)</f>
        <v>-210</v>
      </c>
      <c r="M38" s="41">
        <f>((660)/(2))*(-1)</f>
        <v>-330</v>
      </c>
      <c r="N38" s="41">
        <f>(((1.05)*(1000))/(2))*(-1)</f>
        <v>-525</v>
      </c>
      <c r="O38" s="41">
        <f>(((1.65)*(1000))/(2))*(-1)</f>
        <v>-825</v>
      </c>
      <c r="P38" s="41">
        <f>(((2.6)*(1000))/(2))*(-1)</f>
        <v>-1300</v>
      </c>
      <c r="Q38" s="41">
        <f>(((4.2)*(1000))/(2))*(-1)</f>
        <v>-2100</v>
      </c>
      <c r="R38" s="41">
        <f>(((6.6)*(1000))/(2))*(-1)</f>
        <v>-3300</v>
      </c>
      <c r="S38" s="41">
        <f>(((10.5)*(1000))/(2))*(-1)</f>
        <v>-5250</v>
      </c>
      <c r="T38" s="41">
        <f>(((16.5)*(1000))/(2))*(-1)</f>
        <v>-8250</v>
      </c>
    </row>
    <row r="39" spans="1:20" ht="16.8" thickBot="1" x14ac:dyDescent="0.35">
      <c r="A39" s="96">
        <v>1250</v>
      </c>
      <c r="B39" s="98">
        <v>1600</v>
      </c>
      <c r="C39" s="41">
        <f t="shared" ref="C39" si="267">(15)/(2)</f>
        <v>7.5</v>
      </c>
      <c r="D39" s="41">
        <f t="shared" ref="D39" si="268">(21)/(2)</f>
        <v>10.5</v>
      </c>
      <c r="E39" s="41">
        <f t="shared" ref="E39" si="269">(29)/(2)</f>
        <v>14.5</v>
      </c>
      <c r="F39" s="41">
        <f t="shared" ref="F39" si="270">(39)/(2)</f>
        <v>19.5</v>
      </c>
      <c r="G39" s="41">
        <f t="shared" ref="G39" si="271">(55)/(2)</f>
        <v>27.5</v>
      </c>
      <c r="H39" s="41">
        <f t="shared" ref="H39" si="272">(78)/(2)</f>
        <v>39</v>
      </c>
      <c r="I39" s="41">
        <f t="shared" ref="I39" si="273">(125)/(2)</f>
        <v>62.5</v>
      </c>
      <c r="J39" s="41">
        <f t="shared" ref="J39" si="274">(195)/(2)</f>
        <v>97.5</v>
      </c>
      <c r="K39" s="41">
        <f t="shared" ref="K39" si="275">(310)/(2)</f>
        <v>155</v>
      </c>
      <c r="L39" s="41">
        <f t="shared" ref="L39" si="276">(500)/(2)</f>
        <v>250</v>
      </c>
      <c r="M39" s="41">
        <f t="shared" ref="M39" si="277">(780)/(2)</f>
        <v>390</v>
      </c>
      <c r="N39" s="41">
        <f t="shared" ref="N39" si="278">((1.25)*(1000))/(2)</f>
        <v>625</v>
      </c>
      <c r="O39" s="41">
        <f t="shared" ref="O39" si="279">((1.95)*(1000))/(2)</f>
        <v>975</v>
      </c>
      <c r="P39" s="41">
        <f t="shared" ref="P39" si="280">((3.1)*(1000))/(2)</f>
        <v>1550</v>
      </c>
      <c r="Q39" s="41">
        <f t="shared" ref="Q39" si="281">((5)*(1000))/(2)</f>
        <v>2500</v>
      </c>
      <c r="R39" s="41">
        <f t="shared" ref="R39" si="282">((7.8)*(1000))/(2)</f>
        <v>3900</v>
      </c>
      <c r="S39" s="41">
        <f t="shared" ref="S39" si="283">((12.5)*(1000))/(2)</f>
        <v>6250</v>
      </c>
      <c r="T39" s="41">
        <f t="shared" ref="T39" si="284">((19.5)*(1000))/(2)</f>
        <v>9750</v>
      </c>
    </row>
    <row r="40" spans="1:20" ht="16.8" thickBot="1" x14ac:dyDescent="0.35">
      <c r="A40" s="97"/>
      <c r="B40" s="99"/>
      <c r="C40" s="41">
        <f>((15)/(2))*(-1)</f>
        <v>-7.5</v>
      </c>
      <c r="D40" s="41">
        <f>((21)/(2))*(-1)</f>
        <v>-10.5</v>
      </c>
      <c r="E40" s="41">
        <f>((29)/(2))*(-1)</f>
        <v>-14.5</v>
      </c>
      <c r="F40" s="41">
        <f>((39)/(2))*(-1)</f>
        <v>-19.5</v>
      </c>
      <c r="G40" s="41">
        <f>((55)/(2))*(-1)</f>
        <v>-27.5</v>
      </c>
      <c r="H40" s="41">
        <f>((78)/(2))*(-1)</f>
        <v>-39</v>
      </c>
      <c r="I40" s="41">
        <f>((125)/(2))*(-1)</f>
        <v>-62.5</v>
      </c>
      <c r="J40" s="41">
        <f>((195)/(2))*(-1)</f>
        <v>-97.5</v>
      </c>
      <c r="K40" s="41">
        <f>((310)/(2))*(-1)</f>
        <v>-155</v>
      </c>
      <c r="L40" s="41">
        <f>((500)/(2))*(-1)</f>
        <v>-250</v>
      </c>
      <c r="M40" s="41">
        <f>((780)/(2))*(-1)</f>
        <v>-390</v>
      </c>
      <c r="N40" s="41">
        <f>(((1.25)*(1000))/(2))*(-1)</f>
        <v>-625</v>
      </c>
      <c r="O40" s="41">
        <f>(((1.95)*(1000))/(2))*(-1)</f>
        <v>-975</v>
      </c>
      <c r="P40" s="41">
        <f>(((3.1)*(1000))/(2))*(-1)</f>
        <v>-1550</v>
      </c>
      <c r="Q40" s="41">
        <f>(((5)*(1000))/(2))*(-1)</f>
        <v>-2500</v>
      </c>
      <c r="R40" s="41">
        <f>(((7.8)*(1000))/(2))*(-1)</f>
        <v>-3900</v>
      </c>
      <c r="S40" s="41">
        <f>(((12.5)*(1000))/(2))*(-1)</f>
        <v>-6250</v>
      </c>
      <c r="T40" s="41">
        <f>(((19.5)*(1000))/(2))*(-1)</f>
        <v>-9750</v>
      </c>
    </row>
    <row r="41" spans="1:20" ht="16.8" thickBot="1" x14ac:dyDescent="0.35">
      <c r="A41" s="96">
        <v>1600</v>
      </c>
      <c r="B41" s="98">
        <v>2000</v>
      </c>
      <c r="C41" s="41">
        <f>((18)/(2))</f>
        <v>9</v>
      </c>
      <c r="D41" s="41">
        <f t="shared" ref="D41" si="285">(25)/(2)</f>
        <v>12.5</v>
      </c>
      <c r="E41" s="41">
        <f t="shared" ref="E41" si="286">(35)/(2)</f>
        <v>17.5</v>
      </c>
      <c r="F41" s="41">
        <f t="shared" ref="F41" si="287">(46)/(2)</f>
        <v>23</v>
      </c>
      <c r="G41" s="41">
        <f t="shared" ref="G41" si="288">(65)/(2)</f>
        <v>32.5</v>
      </c>
      <c r="H41" s="41">
        <f t="shared" ref="H41" si="289">(92)/(2)</f>
        <v>46</v>
      </c>
      <c r="I41" s="41">
        <f t="shared" ref="I41" si="290">(150)/(2)</f>
        <v>75</v>
      </c>
      <c r="J41" s="41">
        <f t="shared" ref="J41" si="291">(230)/(2)</f>
        <v>115</v>
      </c>
      <c r="K41" s="41">
        <f t="shared" ref="K41" si="292">(370)/(2)</f>
        <v>185</v>
      </c>
      <c r="L41" s="41">
        <f t="shared" ref="L41" si="293">(600)/(2)</f>
        <v>300</v>
      </c>
      <c r="M41" s="41">
        <f t="shared" ref="M41" si="294">(920)/(2)</f>
        <v>460</v>
      </c>
      <c r="N41" s="41">
        <f t="shared" ref="N41" si="295">((1.5)*(1000))/(2)</f>
        <v>750</v>
      </c>
      <c r="O41" s="41">
        <f t="shared" ref="O41" si="296">((2.3)*(1000))/(2)</f>
        <v>1150</v>
      </c>
      <c r="P41" s="41">
        <f t="shared" ref="P41" si="297">((3.7)*(1000))/(2)</f>
        <v>1850</v>
      </c>
      <c r="Q41" s="41">
        <f t="shared" ref="Q41" si="298">((6)*(1000))/(2)</f>
        <v>3000</v>
      </c>
      <c r="R41" s="41">
        <f t="shared" ref="R41" si="299">((9.2)*(1000))/(2)</f>
        <v>4600</v>
      </c>
      <c r="S41" s="41">
        <f t="shared" ref="S41" si="300">((15)*(1000))/(2)</f>
        <v>7500</v>
      </c>
      <c r="T41" s="41">
        <f t="shared" ref="T41" si="301">((23)*(1000))/(2)</f>
        <v>11500</v>
      </c>
    </row>
    <row r="42" spans="1:20" ht="16.8" thickBot="1" x14ac:dyDescent="0.35">
      <c r="A42" s="97"/>
      <c r="B42" s="99"/>
      <c r="C42" s="41">
        <f>((18)/(2))*(-1)</f>
        <v>-9</v>
      </c>
      <c r="D42" s="41">
        <f>((25)/(2))*(-1)</f>
        <v>-12.5</v>
      </c>
      <c r="E42" s="41">
        <f>((35)/(2))*(-1)</f>
        <v>-17.5</v>
      </c>
      <c r="F42" s="41">
        <f>((46)/(2))*(-1)</f>
        <v>-23</v>
      </c>
      <c r="G42" s="41">
        <f>((65)/(2))*(-1)</f>
        <v>-32.5</v>
      </c>
      <c r="H42" s="41">
        <f>((92)/(2))*(-1)</f>
        <v>-46</v>
      </c>
      <c r="I42" s="41">
        <f>((150)/(2))*(-1)</f>
        <v>-75</v>
      </c>
      <c r="J42" s="41">
        <f>((230)/(2))*(-1)</f>
        <v>-115</v>
      </c>
      <c r="K42" s="41">
        <f>((370)/(2))*(-1)</f>
        <v>-185</v>
      </c>
      <c r="L42" s="41">
        <f>((600)/(2))*(-1)</f>
        <v>-300</v>
      </c>
      <c r="M42" s="41">
        <f>((920)/(2))*(-1)</f>
        <v>-460</v>
      </c>
      <c r="N42" s="41">
        <f>(((1.5)*(1000))/(2))*(-1)</f>
        <v>-750</v>
      </c>
      <c r="O42" s="41">
        <f>(((2.3)*(1000))/(2))*(-1)</f>
        <v>-1150</v>
      </c>
      <c r="P42" s="41">
        <f>(((3.7)*(1000))/(2))*(-1)</f>
        <v>-1850</v>
      </c>
      <c r="Q42" s="41">
        <f>(((6)*(1000))/(2))*(-1)</f>
        <v>-3000</v>
      </c>
      <c r="R42" s="41">
        <f>(((9.2)*(1000))/(2))*(-1)</f>
        <v>-4600</v>
      </c>
      <c r="S42" s="41">
        <f>(((15)*(1000))/(2))*(-1)</f>
        <v>-7500</v>
      </c>
      <c r="T42" s="41">
        <f>(((23)*(1000))/(2))*(-1)</f>
        <v>-11500</v>
      </c>
    </row>
    <row r="43" spans="1:20" ht="16.8" thickBot="1" x14ac:dyDescent="0.35">
      <c r="A43" s="96">
        <v>2000</v>
      </c>
      <c r="B43" s="98">
        <v>2500</v>
      </c>
      <c r="C43" s="41">
        <f t="shared" ref="C43" si="302">(22)/(2)</f>
        <v>11</v>
      </c>
      <c r="D43" s="41">
        <f t="shared" ref="D43" si="303">(30)/(2)</f>
        <v>15</v>
      </c>
      <c r="E43" s="41">
        <f t="shared" ref="E43" si="304">(41)/(2)</f>
        <v>20.5</v>
      </c>
      <c r="F43" s="41">
        <f t="shared" ref="F43" si="305">(55)/(2)</f>
        <v>27.5</v>
      </c>
      <c r="G43" s="41">
        <f t="shared" ref="G43" si="306">(78)/(2)</f>
        <v>39</v>
      </c>
      <c r="H43" s="41">
        <f t="shared" ref="H43" si="307">(110)/(2)</f>
        <v>55</v>
      </c>
      <c r="I43" s="41">
        <f t="shared" ref="I43" si="308">(175)/(2)</f>
        <v>87.5</v>
      </c>
      <c r="J43" s="41">
        <f t="shared" ref="J43" si="309">(280)/(2)</f>
        <v>140</v>
      </c>
      <c r="K43" s="41">
        <f t="shared" ref="K43" si="310">(440)/(2)</f>
        <v>220</v>
      </c>
      <c r="L43" s="41">
        <f t="shared" ref="L43" si="311">(700)/(2)</f>
        <v>350</v>
      </c>
      <c r="M43" s="41">
        <f t="shared" ref="M43" si="312">(1100)/(2)</f>
        <v>550</v>
      </c>
      <c r="N43" s="41">
        <f t="shared" ref="N43" si="313">((1.75)*(1000))/(2)</f>
        <v>875</v>
      </c>
      <c r="O43" s="41">
        <f t="shared" ref="O43" si="314">((2.8)*(1000))/(2)</f>
        <v>1400</v>
      </c>
      <c r="P43" s="41">
        <f t="shared" ref="P43" si="315">((4.4)*(1000))/(2)</f>
        <v>2200</v>
      </c>
      <c r="Q43" s="41">
        <f t="shared" ref="Q43" si="316">((7)*(1000))/(2)</f>
        <v>3500</v>
      </c>
      <c r="R43" s="41">
        <f t="shared" ref="R43" si="317">((11)*(1000))/(2)</f>
        <v>5500</v>
      </c>
      <c r="S43" s="41">
        <f t="shared" ref="S43" si="318">((17.5)*(1000))/(2)</f>
        <v>8750</v>
      </c>
      <c r="T43" s="41">
        <f t="shared" ref="T43" si="319">((28)*(1000))/(2)</f>
        <v>14000</v>
      </c>
    </row>
    <row r="44" spans="1:20" ht="16.8" thickBot="1" x14ac:dyDescent="0.35">
      <c r="A44" s="97"/>
      <c r="B44" s="99"/>
      <c r="C44" s="41">
        <f>((22)/(2))*(-1)</f>
        <v>-11</v>
      </c>
      <c r="D44" s="41">
        <f>((30)/(2))*(-1)</f>
        <v>-15</v>
      </c>
      <c r="E44" s="41">
        <f>((41)/(2))*(-1)</f>
        <v>-20.5</v>
      </c>
      <c r="F44" s="41">
        <f>((55)/(2))*(-1)</f>
        <v>-27.5</v>
      </c>
      <c r="G44" s="41">
        <f>((78)/(2))*(-1)</f>
        <v>-39</v>
      </c>
      <c r="H44" s="41">
        <f>((110)/(2))*(-1)</f>
        <v>-55</v>
      </c>
      <c r="I44" s="41">
        <f>((175)/(2))*(-1)</f>
        <v>-87.5</v>
      </c>
      <c r="J44" s="41">
        <f>((280)/(2))*(-1)</f>
        <v>-140</v>
      </c>
      <c r="K44" s="41">
        <f>((440)/(2))*(-1)</f>
        <v>-220</v>
      </c>
      <c r="L44" s="41">
        <f>((700)/(2))*(-1)</f>
        <v>-350</v>
      </c>
      <c r="M44" s="41">
        <f>((1100)/(2))*(-1)</f>
        <v>-550</v>
      </c>
      <c r="N44" s="41">
        <f>(((1.75)*(1000))/(2))*(-1)</f>
        <v>-875</v>
      </c>
      <c r="O44" s="41">
        <f>(((2.8)*(1000))/(2))*(-1)</f>
        <v>-1400</v>
      </c>
      <c r="P44" s="41">
        <f>(((4.4)*(1000))/(2))*(-1)</f>
        <v>-2200</v>
      </c>
      <c r="Q44" s="41">
        <f>(((7)*(1000))/(2))*(-1)</f>
        <v>-3500</v>
      </c>
      <c r="R44" s="41">
        <f>(((11)*(1000))/(2))*(-1)</f>
        <v>-5500</v>
      </c>
      <c r="S44" s="41">
        <f>(((17.5)*(1000))/(2))*(-1)</f>
        <v>-8750</v>
      </c>
      <c r="T44" s="41">
        <f>(((28)*(1000))/(2))*(-1)</f>
        <v>-14000</v>
      </c>
    </row>
    <row r="45" spans="1:20" ht="16.8" thickBot="1" x14ac:dyDescent="0.35">
      <c r="A45" s="96">
        <v>2500</v>
      </c>
      <c r="B45" s="98">
        <v>3150</v>
      </c>
      <c r="C45" s="41">
        <f t="shared" ref="C45" si="320">(26)/(2)</f>
        <v>13</v>
      </c>
      <c r="D45" s="41">
        <f t="shared" ref="D45" si="321">(36)/(2)</f>
        <v>18</v>
      </c>
      <c r="E45" s="41">
        <f t="shared" ref="E45" si="322">(50)/(2)</f>
        <v>25</v>
      </c>
      <c r="F45" s="41">
        <f t="shared" ref="F45" si="323">(68)/(2)</f>
        <v>34</v>
      </c>
      <c r="G45" s="41">
        <f t="shared" ref="G45" si="324">(96)/(2)</f>
        <v>48</v>
      </c>
      <c r="H45" s="41">
        <f t="shared" ref="H45" si="325">(135)/(2)</f>
        <v>67.5</v>
      </c>
      <c r="I45" s="41">
        <f t="shared" ref="I45" si="326">(210)/(2)</f>
        <v>105</v>
      </c>
      <c r="J45" s="41">
        <f t="shared" ref="J45" si="327">(330)/(2)</f>
        <v>165</v>
      </c>
      <c r="K45" s="41">
        <f t="shared" ref="K45" si="328">(540)/(2)</f>
        <v>270</v>
      </c>
      <c r="L45" s="41">
        <f t="shared" ref="L45" si="329">(860)/(2)</f>
        <v>430</v>
      </c>
      <c r="M45" s="41">
        <f t="shared" ref="M45" si="330">(1350)/(2)</f>
        <v>675</v>
      </c>
      <c r="N45" s="41">
        <f t="shared" ref="N45" si="331">((2.1)*(1000))/(2)</f>
        <v>1050</v>
      </c>
      <c r="O45" s="41">
        <f t="shared" ref="O45" si="332">((3.3)*(1000))/(2)</f>
        <v>1650</v>
      </c>
      <c r="P45" s="41">
        <f t="shared" ref="P45" si="333">(5.4*(1000))/(2)</f>
        <v>2700</v>
      </c>
      <c r="Q45" s="41">
        <f t="shared" ref="Q45" si="334">((8.6)*(1000))/(2)</f>
        <v>4300</v>
      </c>
      <c r="R45" s="41">
        <f t="shared" ref="R45" si="335">((13.5)*(1000))/(2)</f>
        <v>6750</v>
      </c>
      <c r="S45" s="41">
        <f t="shared" ref="S45" si="336">((21)*(1000))/(2)</f>
        <v>10500</v>
      </c>
      <c r="T45" s="41">
        <f t="shared" ref="T45" si="337">((33)*(1000))/(2)</f>
        <v>16500</v>
      </c>
    </row>
    <row r="46" spans="1:20" ht="16.8" thickBot="1" x14ac:dyDescent="0.35">
      <c r="A46" s="97"/>
      <c r="B46" s="99"/>
      <c r="C46" s="41">
        <f>((26)/(2))*(-1)</f>
        <v>-13</v>
      </c>
      <c r="D46" s="41">
        <f>((36)/(2))*(-1)</f>
        <v>-18</v>
      </c>
      <c r="E46" s="41">
        <f>((50)/(2))*(-1)</f>
        <v>-25</v>
      </c>
      <c r="F46" s="41">
        <f>((68)/(2))*(-1)</f>
        <v>-34</v>
      </c>
      <c r="G46" s="41">
        <f>((96)/(2))*(-1)</f>
        <v>-48</v>
      </c>
      <c r="H46" s="41">
        <f>((135)/(2))*(-1)</f>
        <v>-67.5</v>
      </c>
      <c r="I46" s="41">
        <f>((210)/(2))*(-1)</f>
        <v>-105</v>
      </c>
      <c r="J46" s="41">
        <f>((330)/(2))*(-1)</f>
        <v>-165</v>
      </c>
      <c r="K46" s="41">
        <f>((540)/(2))*(-1)</f>
        <v>-270</v>
      </c>
      <c r="L46" s="41">
        <f>((860)/(2))*(-1)</f>
        <v>-430</v>
      </c>
      <c r="M46" s="41">
        <f>((1350)/(2))*(-1)</f>
        <v>-675</v>
      </c>
      <c r="N46" s="41">
        <f>(((2.1)*(1000))/(2))*(-1)</f>
        <v>-1050</v>
      </c>
      <c r="O46" s="41">
        <f>(((3.3)*(1000))/(2))*(-1)</f>
        <v>-1650</v>
      </c>
      <c r="P46" s="41">
        <f>((5.4*(1000))/(2))*(-1)</f>
        <v>-2700</v>
      </c>
      <c r="Q46" s="41">
        <f>(((8.6)*(1000))/(2))*(-1)</f>
        <v>-4300</v>
      </c>
      <c r="R46" s="41">
        <f>(((13.5)*(1000))/(2))*(-1)</f>
        <v>-6750</v>
      </c>
      <c r="S46" s="41">
        <f>(((21)*(1000))/(2))*(-1)</f>
        <v>-10500</v>
      </c>
      <c r="T46" s="41">
        <f>(((33)*(1000))/(2))*(-1)</f>
        <v>-16500</v>
      </c>
    </row>
    <row r="47" spans="1:20" ht="73.2" customHeight="1" thickBot="1" x14ac:dyDescent="0.35">
      <c r="A47" s="123" t="s">
        <v>66</v>
      </c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24"/>
    </row>
    <row r="48" spans="1:20" ht="16.2" customHeight="1" x14ac:dyDescent="0.3">
      <c r="A48" s="123" t="s">
        <v>67</v>
      </c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24"/>
    </row>
    <row r="49" spans="1:20" ht="16.8" thickBot="1" x14ac:dyDescent="0.35">
      <c r="A49" s="125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7"/>
    </row>
  </sheetData>
  <mergeCells count="51">
    <mergeCell ref="A1:B1"/>
    <mergeCell ref="A2:B2"/>
    <mergeCell ref="C1:T1"/>
    <mergeCell ref="A3:A4"/>
    <mergeCell ref="B3:B4"/>
    <mergeCell ref="C3:T3"/>
    <mergeCell ref="A15:A16"/>
    <mergeCell ref="B15:B16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B29:B30"/>
    <mergeCell ref="A31:A32"/>
    <mergeCell ref="B31:B32"/>
    <mergeCell ref="A33:A34"/>
    <mergeCell ref="B33:B34"/>
    <mergeCell ref="A47:T47"/>
    <mergeCell ref="A48:T49"/>
    <mergeCell ref="C4:T4"/>
    <mergeCell ref="A41:A42"/>
    <mergeCell ref="B41:B42"/>
    <mergeCell ref="A43:A44"/>
    <mergeCell ref="B43:B44"/>
    <mergeCell ref="A45:A46"/>
    <mergeCell ref="B45:B46"/>
    <mergeCell ref="A35:A36"/>
    <mergeCell ref="B35:B36"/>
    <mergeCell ref="A37:A38"/>
    <mergeCell ref="B37:B38"/>
    <mergeCell ref="A39:A40"/>
    <mergeCell ref="B39:B40"/>
    <mergeCell ref="A29:A30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9ED2-3DD8-43DB-AD21-A223E8863C0F}">
  <dimension ref="A1:O48"/>
  <sheetViews>
    <sheetView topLeftCell="A24" workbookViewId="0">
      <selection activeCell="A47" sqref="A47:O47"/>
    </sheetView>
  </sheetViews>
  <sheetFormatPr defaultRowHeight="16.2" x14ac:dyDescent="0.3"/>
  <sheetData>
    <row r="1" spans="1:15" ht="17.399999999999999" customHeight="1" thickTop="1" x14ac:dyDescent="0.3">
      <c r="A1" s="102" t="s">
        <v>6</v>
      </c>
      <c r="B1" s="103"/>
      <c r="C1" s="92" t="s">
        <v>35</v>
      </c>
      <c r="D1" s="78"/>
      <c r="E1" s="78"/>
      <c r="F1" s="78"/>
      <c r="G1" s="93"/>
      <c r="H1" s="92" t="s">
        <v>36</v>
      </c>
      <c r="I1" s="78"/>
      <c r="J1" s="78"/>
      <c r="K1" s="78"/>
      <c r="L1" s="78"/>
      <c r="M1" s="78"/>
      <c r="N1" s="78"/>
      <c r="O1" s="79"/>
    </row>
    <row r="2" spans="1:15" ht="16.8" thickBot="1" x14ac:dyDescent="0.35">
      <c r="A2" s="85" t="s">
        <v>1</v>
      </c>
      <c r="B2" s="104"/>
      <c r="C2" s="94"/>
      <c r="D2" s="81"/>
      <c r="E2" s="81"/>
      <c r="F2" s="81"/>
      <c r="G2" s="95"/>
      <c r="H2" s="94"/>
      <c r="I2" s="81"/>
      <c r="J2" s="81"/>
      <c r="K2" s="81"/>
      <c r="L2" s="81"/>
      <c r="M2" s="81"/>
      <c r="N2" s="81"/>
      <c r="O2" s="82"/>
    </row>
    <row r="3" spans="1:15" ht="16.8" thickBot="1" x14ac:dyDescent="0.35">
      <c r="A3" s="21" t="s">
        <v>3</v>
      </c>
      <c r="B3" s="22" t="s">
        <v>4</v>
      </c>
      <c r="C3" s="20">
        <v>6</v>
      </c>
      <c r="D3" s="20">
        <v>7</v>
      </c>
      <c r="E3" s="20">
        <v>8</v>
      </c>
      <c r="F3" s="24" t="s">
        <v>37</v>
      </c>
      <c r="G3" s="24">
        <v>10</v>
      </c>
      <c r="H3" s="20">
        <v>3</v>
      </c>
      <c r="I3" s="20">
        <v>4</v>
      </c>
      <c r="J3" s="20">
        <v>5</v>
      </c>
      <c r="K3" s="20">
        <v>6</v>
      </c>
      <c r="L3" s="20">
        <v>7</v>
      </c>
      <c r="M3" s="20">
        <v>8</v>
      </c>
      <c r="N3" s="24" t="s">
        <v>38</v>
      </c>
      <c r="O3" s="28" t="s">
        <v>39</v>
      </c>
    </row>
    <row r="4" spans="1:15" x14ac:dyDescent="0.3">
      <c r="A4" s="105" t="s">
        <v>5</v>
      </c>
      <c r="B4" s="100">
        <v>3</v>
      </c>
      <c r="C4" s="31">
        <v>2</v>
      </c>
      <c r="D4" s="31">
        <v>4</v>
      </c>
      <c r="E4" s="31">
        <v>6</v>
      </c>
      <c r="F4" s="31">
        <f>(25)/(2)</f>
        <v>12.5</v>
      </c>
      <c r="G4" s="31">
        <f>(40)/(2)</f>
        <v>20</v>
      </c>
      <c r="H4" s="31">
        <v>0</v>
      </c>
      <c r="I4" s="31">
        <v>0</v>
      </c>
      <c r="J4" s="31">
        <v>0</v>
      </c>
      <c r="K4" s="31">
        <v>0</v>
      </c>
      <c r="L4" s="31">
        <v>0</v>
      </c>
      <c r="M4" s="31">
        <v>0</v>
      </c>
      <c r="N4" s="31">
        <v>0</v>
      </c>
      <c r="O4" s="32">
        <v>0</v>
      </c>
    </row>
    <row r="5" spans="1:15" ht="16.8" thickBot="1" x14ac:dyDescent="0.35">
      <c r="A5" s="106"/>
      <c r="B5" s="101"/>
      <c r="C5" s="34">
        <v>-4</v>
      </c>
      <c r="D5" s="34">
        <v>-6</v>
      </c>
      <c r="E5" s="34">
        <v>-8</v>
      </c>
      <c r="F5" s="34">
        <f>((25)/(2))*(-1)</f>
        <v>-12.5</v>
      </c>
      <c r="G5" s="34">
        <f>((40)/(2))*(-1)</f>
        <v>-20</v>
      </c>
      <c r="H5" s="34">
        <v>-2</v>
      </c>
      <c r="I5" s="34">
        <v>-3</v>
      </c>
      <c r="J5" s="34">
        <v>-4</v>
      </c>
      <c r="K5" s="34">
        <v>-6</v>
      </c>
      <c r="L5" s="34">
        <v>-10</v>
      </c>
      <c r="M5" s="34">
        <v>-14</v>
      </c>
      <c r="N5" s="34">
        <v>-25</v>
      </c>
      <c r="O5" s="35">
        <v>-40</v>
      </c>
    </row>
    <row r="6" spans="1:15" x14ac:dyDescent="0.3">
      <c r="A6" s="61">
        <v>3</v>
      </c>
      <c r="B6" s="100">
        <v>6</v>
      </c>
      <c r="C6" s="31">
        <v>5</v>
      </c>
      <c r="D6" s="42">
        <v>6</v>
      </c>
      <c r="E6" s="31">
        <v>10</v>
      </c>
      <c r="F6" s="31">
        <f>(30)/(2)</f>
        <v>15</v>
      </c>
      <c r="G6" s="31">
        <f>(48)/(2)</f>
        <v>24</v>
      </c>
      <c r="H6" s="31">
        <v>0</v>
      </c>
      <c r="I6" s="31">
        <v>0.5</v>
      </c>
      <c r="J6" s="31">
        <v>0</v>
      </c>
      <c r="K6" s="31">
        <v>2</v>
      </c>
      <c r="L6" s="31">
        <v>3</v>
      </c>
      <c r="M6" s="31">
        <v>5</v>
      </c>
      <c r="N6" s="136"/>
      <c r="O6" s="144"/>
    </row>
    <row r="7" spans="1:15" ht="16.8" thickBot="1" x14ac:dyDescent="0.35">
      <c r="A7" s="62"/>
      <c r="B7" s="101"/>
      <c r="C7" s="34">
        <v>-3</v>
      </c>
      <c r="D7" s="43">
        <v>-6</v>
      </c>
      <c r="E7" s="34">
        <v>-8</v>
      </c>
      <c r="F7" s="34">
        <f>((30)/(2))*(-1)</f>
        <v>-15</v>
      </c>
      <c r="G7" s="34">
        <f>((48)/(2))*(-1)</f>
        <v>-24</v>
      </c>
      <c r="H7" s="34">
        <v>-2.5</v>
      </c>
      <c r="I7" s="34">
        <v>-3.5</v>
      </c>
      <c r="J7" s="34">
        <v>-5</v>
      </c>
      <c r="K7" s="34">
        <v>-6</v>
      </c>
      <c r="L7" s="34">
        <v>-9</v>
      </c>
      <c r="M7" s="34">
        <v>-13</v>
      </c>
      <c r="N7" s="137"/>
      <c r="O7" s="145"/>
    </row>
    <row r="8" spans="1:15" x14ac:dyDescent="0.3">
      <c r="A8" s="61">
        <v>6</v>
      </c>
      <c r="B8" s="100">
        <v>10</v>
      </c>
      <c r="C8" s="31">
        <v>5</v>
      </c>
      <c r="D8" s="31">
        <v>8</v>
      </c>
      <c r="E8" s="31">
        <v>12</v>
      </c>
      <c r="F8" s="31">
        <f t="shared" ref="F8" si="0">(36)/(2)</f>
        <v>18</v>
      </c>
      <c r="G8" s="31">
        <f t="shared" ref="G8" si="1">(58)/(2)</f>
        <v>29</v>
      </c>
      <c r="H8" s="31">
        <v>0</v>
      </c>
      <c r="I8" s="31">
        <v>0.5</v>
      </c>
      <c r="J8" s="31">
        <v>1</v>
      </c>
      <c r="K8" s="31">
        <v>2</v>
      </c>
      <c r="L8" s="31">
        <v>5</v>
      </c>
      <c r="M8" s="31">
        <v>6</v>
      </c>
      <c r="N8" s="136"/>
      <c r="O8" s="144"/>
    </row>
    <row r="9" spans="1:15" ht="16.8" thickBot="1" x14ac:dyDescent="0.35">
      <c r="A9" s="62"/>
      <c r="B9" s="101"/>
      <c r="C9" s="34">
        <v>-4</v>
      </c>
      <c r="D9" s="34">
        <v>-7</v>
      </c>
      <c r="E9" s="34">
        <v>-10</v>
      </c>
      <c r="F9" s="34">
        <f>((36)/(2))*(-1)</f>
        <v>-18</v>
      </c>
      <c r="G9" s="34">
        <f>((58)/(2))*(-1)</f>
        <v>-29</v>
      </c>
      <c r="H9" s="34">
        <v>-2.5</v>
      </c>
      <c r="I9" s="34">
        <v>-3.5</v>
      </c>
      <c r="J9" s="34">
        <v>-5</v>
      </c>
      <c r="K9" s="34">
        <v>-7</v>
      </c>
      <c r="L9" s="34">
        <v>-10</v>
      </c>
      <c r="M9" s="34">
        <v>-16</v>
      </c>
      <c r="N9" s="137"/>
      <c r="O9" s="145"/>
    </row>
    <row r="10" spans="1:15" x14ac:dyDescent="0.3">
      <c r="A10" s="61">
        <v>10</v>
      </c>
      <c r="B10" s="100">
        <v>18</v>
      </c>
      <c r="C10" s="31">
        <v>6</v>
      </c>
      <c r="D10" s="31">
        <v>10</v>
      </c>
      <c r="E10" s="31">
        <v>15</v>
      </c>
      <c r="F10" s="31">
        <f t="shared" ref="F10" si="2">(43)/(2)</f>
        <v>21.5</v>
      </c>
      <c r="G10" s="31">
        <f t="shared" ref="G10" si="3">(70)/(2)</f>
        <v>35</v>
      </c>
      <c r="H10" s="31">
        <v>0</v>
      </c>
      <c r="I10" s="31">
        <v>1</v>
      </c>
      <c r="J10" s="31">
        <v>2</v>
      </c>
      <c r="K10" s="31">
        <v>2</v>
      </c>
      <c r="L10" s="31">
        <v>6</v>
      </c>
      <c r="M10" s="31">
        <v>8</v>
      </c>
      <c r="N10" s="136"/>
      <c r="O10" s="144"/>
    </row>
    <row r="11" spans="1:15" ht="16.8" thickBot="1" x14ac:dyDescent="0.35">
      <c r="A11" s="62"/>
      <c r="B11" s="101"/>
      <c r="C11" s="34">
        <v>-5</v>
      </c>
      <c r="D11" s="34">
        <v>-8</v>
      </c>
      <c r="E11" s="34">
        <v>-12</v>
      </c>
      <c r="F11" s="34">
        <f>((43)/(2))*(-1)</f>
        <v>-21.5</v>
      </c>
      <c r="G11" s="34">
        <f>((70)/(2))*(-1)</f>
        <v>-35</v>
      </c>
      <c r="H11" s="34">
        <v>-3</v>
      </c>
      <c r="I11" s="34">
        <v>-4</v>
      </c>
      <c r="J11" s="34">
        <v>-6</v>
      </c>
      <c r="K11" s="34">
        <v>-9</v>
      </c>
      <c r="L11" s="34">
        <v>-12</v>
      </c>
      <c r="M11" s="34">
        <v>-19</v>
      </c>
      <c r="N11" s="137"/>
      <c r="O11" s="145"/>
    </row>
    <row r="12" spans="1:15" x14ac:dyDescent="0.3">
      <c r="A12" s="61">
        <v>18</v>
      </c>
      <c r="B12" s="100">
        <v>30</v>
      </c>
      <c r="C12" s="31">
        <v>8</v>
      </c>
      <c r="D12" s="31">
        <v>12</v>
      </c>
      <c r="E12" s="31">
        <v>20</v>
      </c>
      <c r="F12" s="31">
        <f t="shared" ref="F12" si="4">(52)/(2)</f>
        <v>26</v>
      </c>
      <c r="G12" s="31">
        <f t="shared" ref="G12" si="5">(84)/(2)</f>
        <v>42</v>
      </c>
      <c r="H12" s="31">
        <v>-0.5</v>
      </c>
      <c r="I12" s="31">
        <v>0</v>
      </c>
      <c r="J12" s="31">
        <v>1</v>
      </c>
      <c r="K12" s="31">
        <v>2</v>
      </c>
      <c r="L12" s="31">
        <v>6</v>
      </c>
      <c r="M12" s="31">
        <v>10</v>
      </c>
      <c r="N12" s="136"/>
      <c r="O12" s="144"/>
    </row>
    <row r="13" spans="1:15" ht="16.8" thickBot="1" x14ac:dyDescent="0.35">
      <c r="A13" s="62"/>
      <c r="B13" s="101"/>
      <c r="C13" s="34">
        <v>-5</v>
      </c>
      <c r="D13" s="34">
        <v>-9</v>
      </c>
      <c r="E13" s="34">
        <v>-13</v>
      </c>
      <c r="F13" s="34">
        <f>((52)/(2))*(-1)</f>
        <v>-26</v>
      </c>
      <c r="G13" s="34">
        <f>((84)/(2))*(-1)</f>
        <v>-42</v>
      </c>
      <c r="H13" s="34">
        <v>-4.5</v>
      </c>
      <c r="I13" s="34">
        <v>-6</v>
      </c>
      <c r="J13" s="34">
        <v>-8</v>
      </c>
      <c r="K13" s="34">
        <v>-11</v>
      </c>
      <c r="L13" s="34">
        <v>-15</v>
      </c>
      <c r="M13" s="34">
        <v>-23</v>
      </c>
      <c r="N13" s="137"/>
      <c r="O13" s="145"/>
    </row>
    <row r="14" spans="1:15" x14ac:dyDescent="0.3">
      <c r="A14" s="61">
        <v>30</v>
      </c>
      <c r="B14" s="100">
        <v>50</v>
      </c>
      <c r="C14" s="31">
        <v>10</v>
      </c>
      <c r="D14" s="31">
        <v>14</v>
      </c>
      <c r="E14" s="31">
        <v>24</v>
      </c>
      <c r="F14" s="31">
        <f t="shared" ref="F14" si="6">(62)/(2)</f>
        <v>31</v>
      </c>
      <c r="G14" s="31">
        <f t="shared" ref="G14" si="7">(100)/(2)</f>
        <v>50</v>
      </c>
      <c r="H14" s="31">
        <v>-0.5</v>
      </c>
      <c r="I14" s="31">
        <v>1</v>
      </c>
      <c r="J14" s="31">
        <v>2</v>
      </c>
      <c r="K14" s="31">
        <v>3</v>
      </c>
      <c r="L14" s="31">
        <v>7</v>
      </c>
      <c r="M14" s="31">
        <v>12</v>
      </c>
      <c r="N14" s="136"/>
      <c r="O14" s="144"/>
    </row>
    <row r="15" spans="1:15" ht="16.8" thickBot="1" x14ac:dyDescent="0.35">
      <c r="A15" s="62"/>
      <c r="B15" s="101"/>
      <c r="C15" s="34">
        <v>-6</v>
      </c>
      <c r="D15" s="34">
        <v>-11</v>
      </c>
      <c r="E15" s="34">
        <v>-15</v>
      </c>
      <c r="F15" s="34">
        <f>((62)/(2))*(-1)</f>
        <v>-31</v>
      </c>
      <c r="G15" s="34">
        <f>((100)/(2))*(-1)</f>
        <v>-50</v>
      </c>
      <c r="H15" s="34">
        <v>-4.5</v>
      </c>
      <c r="I15" s="34">
        <v>-6</v>
      </c>
      <c r="J15" s="34">
        <v>-9</v>
      </c>
      <c r="K15" s="34">
        <v>-13</v>
      </c>
      <c r="L15" s="34">
        <v>-18</v>
      </c>
      <c r="M15" s="34">
        <v>-27</v>
      </c>
      <c r="N15" s="137"/>
      <c r="O15" s="145"/>
    </row>
    <row r="16" spans="1:15" x14ac:dyDescent="0.3">
      <c r="A16" s="61">
        <v>50</v>
      </c>
      <c r="B16" s="100">
        <v>80</v>
      </c>
      <c r="C16" s="31">
        <v>13</v>
      </c>
      <c r="D16" s="31">
        <v>18</v>
      </c>
      <c r="E16" s="31">
        <v>28</v>
      </c>
      <c r="F16" s="31">
        <f t="shared" ref="F16" si="8">(74)/(2)</f>
        <v>37</v>
      </c>
      <c r="G16" s="31">
        <f t="shared" ref="G16" si="9">(120)/(2)</f>
        <v>60</v>
      </c>
      <c r="H16" s="150"/>
      <c r="I16" s="150"/>
      <c r="J16" s="31">
        <v>3</v>
      </c>
      <c r="K16" s="31">
        <v>4</v>
      </c>
      <c r="L16" s="31">
        <v>9</v>
      </c>
      <c r="M16" s="31">
        <v>14</v>
      </c>
      <c r="N16" s="136"/>
      <c r="O16" s="144"/>
    </row>
    <row r="17" spans="1:15" ht="16.8" thickBot="1" x14ac:dyDescent="0.35">
      <c r="A17" s="62"/>
      <c r="B17" s="101"/>
      <c r="C17" s="34">
        <v>-6</v>
      </c>
      <c r="D17" s="34">
        <v>-12</v>
      </c>
      <c r="E17" s="34">
        <v>-18</v>
      </c>
      <c r="F17" s="34">
        <f>((74)/(2))*(-1)</f>
        <v>-37</v>
      </c>
      <c r="G17" s="34">
        <f>((120)/(2))*(-1)</f>
        <v>-60</v>
      </c>
      <c r="H17" s="151"/>
      <c r="I17" s="151"/>
      <c r="J17" s="34">
        <v>-10</v>
      </c>
      <c r="K17" s="34">
        <v>-15</v>
      </c>
      <c r="L17" s="34">
        <v>-21</v>
      </c>
      <c r="M17" s="34">
        <v>-32</v>
      </c>
      <c r="N17" s="137"/>
      <c r="O17" s="145"/>
    </row>
    <row r="18" spans="1:15" x14ac:dyDescent="0.3">
      <c r="A18" s="61">
        <v>80</v>
      </c>
      <c r="B18" s="148">
        <v>120</v>
      </c>
      <c r="C18" s="31">
        <v>16</v>
      </c>
      <c r="D18" s="31">
        <v>22</v>
      </c>
      <c r="E18" s="31">
        <v>34</v>
      </c>
      <c r="F18" s="31">
        <f t="shared" ref="F18" si="10">(87)/(2)</f>
        <v>43.5</v>
      </c>
      <c r="G18" s="31">
        <f t="shared" ref="G18" si="11">(140)/(2)</f>
        <v>70</v>
      </c>
      <c r="H18" s="150"/>
      <c r="I18" s="150"/>
      <c r="J18" s="31">
        <v>2</v>
      </c>
      <c r="K18" s="31">
        <v>4</v>
      </c>
      <c r="L18" s="31">
        <v>10</v>
      </c>
      <c r="M18" s="31">
        <v>16</v>
      </c>
      <c r="N18" s="136"/>
      <c r="O18" s="144"/>
    </row>
    <row r="19" spans="1:15" ht="16.8" thickBot="1" x14ac:dyDescent="0.35">
      <c r="A19" s="62"/>
      <c r="B19" s="149"/>
      <c r="C19" s="34">
        <v>-6</v>
      </c>
      <c r="D19" s="34">
        <v>-13</v>
      </c>
      <c r="E19" s="34">
        <v>-20</v>
      </c>
      <c r="F19" s="34">
        <f>((87)/(2))*(-1)</f>
        <v>-43.5</v>
      </c>
      <c r="G19" s="34">
        <f>((140)/(2))*(-1)</f>
        <v>-70</v>
      </c>
      <c r="H19" s="151"/>
      <c r="I19" s="151"/>
      <c r="J19" s="34">
        <v>-13</v>
      </c>
      <c r="K19" s="34">
        <v>-18</v>
      </c>
      <c r="L19" s="34">
        <v>-25</v>
      </c>
      <c r="M19" s="34">
        <v>-38</v>
      </c>
      <c r="N19" s="137"/>
      <c r="O19" s="145"/>
    </row>
    <row r="20" spans="1:15" x14ac:dyDescent="0.3">
      <c r="A20" s="70">
        <v>120</v>
      </c>
      <c r="B20" s="148">
        <v>180</v>
      </c>
      <c r="C20" s="31">
        <v>18</v>
      </c>
      <c r="D20" s="31">
        <v>26</v>
      </c>
      <c r="E20" s="31">
        <v>41</v>
      </c>
      <c r="F20" s="31">
        <f t="shared" ref="F20" si="12">(100)/(2)</f>
        <v>50</v>
      </c>
      <c r="G20" s="31">
        <f t="shared" ref="G20" si="13">(160)/(2)</f>
        <v>80</v>
      </c>
      <c r="H20" s="150"/>
      <c r="I20" s="150"/>
      <c r="J20" s="31">
        <v>3</v>
      </c>
      <c r="K20" s="31">
        <v>4</v>
      </c>
      <c r="L20" s="31">
        <v>12</v>
      </c>
      <c r="M20" s="31">
        <v>20</v>
      </c>
      <c r="N20" s="136"/>
      <c r="O20" s="144"/>
    </row>
    <row r="21" spans="1:15" ht="16.8" thickBot="1" x14ac:dyDescent="0.35">
      <c r="A21" s="71"/>
      <c r="B21" s="149"/>
      <c r="C21" s="34">
        <v>-7</v>
      </c>
      <c r="D21" s="34">
        <v>-14</v>
      </c>
      <c r="E21" s="34">
        <v>-22</v>
      </c>
      <c r="F21" s="34">
        <f>((100)/(2))*(-1)</f>
        <v>-50</v>
      </c>
      <c r="G21" s="34">
        <f>((160)/(2))*(-1)</f>
        <v>-80</v>
      </c>
      <c r="H21" s="151"/>
      <c r="I21" s="151"/>
      <c r="J21" s="34">
        <v>-15</v>
      </c>
      <c r="K21" s="34">
        <v>-21</v>
      </c>
      <c r="L21" s="34">
        <v>-28</v>
      </c>
      <c r="M21" s="34">
        <v>-43</v>
      </c>
      <c r="N21" s="137"/>
      <c r="O21" s="145"/>
    </row>
    <row r="22" spans="1:15" ht="16.2" customHeight="1" x14ac:dyDescent="0.3">
      <c r="A22" s="70">
        <v>180</v>
      </c>
      <c r="B22" s="148">
        <v>250</v>
      </c>
      <c r="C22" s="31">
        <v>22</v>
      </c>
      <c r="D22" s="31">
        <v>30</v>
      </c>
      <c r="E22" s="31">
        <v>47</v>
      </c>
      <c r="F22" s="31">
        <f t="shared" ref="F22" si="14">(115)/(2)</f>
        <v>57.5</v>
      </c>
      <c r="G22" s="31">
        <f t="shared" ref="G22" si="15">(185)/(2)</f>
        <v>92.5</v>
      </c>
      <c r="H22" s="150"/>
      <c r="I22" s="150"/>
      <c r="J22" s="31">
        <v>2</v>
      </c>
      <c r="K22" s="31">
        <v>5</v>
      </c>
      <c r="L22" s="31">
        <v>13</v>
      </c>
      <c r="M22" s="31">
        <v>22</v>
      </c>
      <c r="N22" s="136"/>
      <c r="O22" s="144"/>
    </row>
    <row r="23" spans="1:15" ht="16.8" thickBot="1" x14ac:dyDescent="0.35">
      <c r="A23" s="71"/>
      <c r="B23" s="149"/>
      <c r="C23" s="34">
        <v>-7</v>
      </c>
      <c r="D23" s="34">
        <v>-16</v>
      </c>
      <c r="E23" s="34">
        <v>-25</v>
      </c>
      <c r="F23" s="34">
        <f>((115)/(2))*(-1)</f>
        <v>-57.5</v>
      </c>
      <c r="G23" s="34">
        <f>((185)/(2))*(-1)</f>
        <v>-92.5</v>
      </c>
      <c r="H23" s="151"/>
      <c r="I23" s="151"/>
      <c r="J23" s="34">
        <v>-18</v>
      </c>
      <c r="K23" s="34">
        <v>-24</v>
      </c>
      <c r="L23" s="34">
        <v>-33</v>
      </c>
      <c r="M23" s="34">
        <v>-50</v>
      </c>
      <c r="N23" s="137"/>
      <c r="O23" s="145"/>
    </row>
    <row r="24" spans="1:15" x14ac:dyDescent="0.3">
      <c r="A24" s="70">
        <v>250</v>
      </c>
      <c r="B24" s="148">
        <v>315</v>
      </c>
      <c r="C24" s="31">
        <v>25</v>
      </c>
      <c r="D24" s="31">
        <v>36</v>
      </c>
      <c r="E24" s="31">
        <v>55</v>
      </c>
      <c r="F24" s="31">
        <f t="shared" ref="F24" si="16">(130)/(2)</f>
        <v>65</v>
      </c>
      <c r="G24" s="31">
        <f t="shared" ref="G24" si="17">(210)/(2)</f>
        <v>105</v>
      </c>
      <c r="H24" s="150"/>
      <c r="I24" s="150"/>
      <c r="J24" s="31">
        <v>3</v>
      </c>
      <c r="K24" s="31">
        <v>5</v>
      </c>
      <c r="L24" s="31">
        <v>16</v>
      </c>
      <c r="M24" s="31">
        <v>25</v>
      </c>
      <c r="N24" s="136"/>
      <c r="O24" s="144"/>
    </row>
    <row r="25" spans="1:15" ht="16.8" thickBot="1" x14ac:dyDescent="0.35">
      <c r="A25" s="71"/>
      <c r="B25" s="149"/>
      <c r="C25" s="34">
        <v>-5</v>
      </c>
      <c r="D25" s="34">
        <v>-16</v>
      </c>
      <c r="E25" s="34">
        <v>-26</v>
      </c>
      <c r="F25" s="34">
        <f>((130)/(2))*(-1)</f>
        <v>-65</v>
      </c>
      <c r="G25" s="34">
        <f>((210)/(2))*(-1)</f>
        <v>-105</v>
      </c>
      <c r="H25" s="151"/>
      <c r="I25" s="151"/>
      <c r="J25" s="34">
        <v>-20</v>
      </c>
      <c r="K25" s="34">
        <v>-27</v>
      </c>
      <c r="L25" s="34">
        <v>-36</v>
      </c>
      <c r="M25" s="34">
        <v>-56</v>
      </c>
      <c r="N25" s="137"/>
      <c r="O25" s="145"/>
    </row>
    <row r="26" spans="1:15" x14ac:dyDescent="0.3">
      <c r="A26" s="70">
        <v>315</v>
      </c>
      <c r="B26" s="148">
        <v>400</v>
      </c>
      <c r="C26" s="31">
        <v>29</v>
      </c>
      <c r="D26" s="31">
        <v>39</v>
      </c>
      <c r="E26" s="31">
        <v>60</v>
      </c>
      <c r="F26" s="31">
        <f t="shared" ref="F26" si="18">(140)/(2)</f>
        <v>70</v>
      </c>
      <c r="G26" s="31">
        <f t="shared" ref="G26" si="19">(230)/(2)</f>
        <v>115</v>
      </c>
      <c r="H26" s="150"/>
      <c r="I26" s="150"/>
      <c r="J26" s="31">
        <v>3</v>
      </c>
      <c r="K26" s="31">
        <v>7</v>
      </c>
      <c r="L26" s="31">
        <v>17</v>
      </c>
      <c r="M26" s="31">
        <v>28</v>
      </c>
      <c r="N26" s="136"/>
      <c r="O26" s="144"/>
    </row>
    <row r="27" spans="1:15" ht="16.8" thickBot="1" x14ac:dyDescent="0.35">
      <c r="A27" s="71"/>
      <c r="B27" s="149"/>
      <c r="C27" s="34">
        <v>-7</v>
      </c>
      <c r="D27" s="34">
        <v>-18</v>
      </c>
      <c r="E27" s="34">
        <v>-29</v>
      </c>
      <c r="F27" s="34">
        <f>((140)/(2))*(-1)</f>
        <v>-70</v>
      </c>
      <c r="G27" s="34">
        <f>((230)/(2))*(-1)</f>
        <v>-115</v>
      </c>
      <c r="H27" s="151"/>
      <c r="I27" s="151"/>
      <c r="J27" s="34">
        <v>-22</v>
      </c>
      <c r="K27" s="34">
        <v>-29</v>
      </c>
      <c r="L27" s="34">
        <v>-40</v>
      </c>
      <c r="M27" s="34">
        <v>-61</v>
      </c>
      <c r="N27" s="137"/>
      <c r="O27" s="145"/>
    </row>
    <row r="28" spans="1:15" x14ac:dyDescent="0.3">
      <c r="A28" s="70">
        <v>400</v>
      </c>
      <c r="B28" s="148">
        <v>500</v>
      </c>
      <c r="C28" s="31">
        <v>33</v>
      </c>
      <c r="D28" s="31">
        <v>43</v>
      </c>
      <c r="E28" s="31">
        <v>66</v>
      </c>
      <c r="F28" s="31">
        <f t="shared" ref="F28" si="20">(155)/(2)</f>
        <v>77.5</v>
      </c>
      <c r="G28" s="31">
        <f t="shared" ref="G28" si="21">(250)/(2)</f>
        <v>125</v>
      </c>
      <c r="H28" s="150"/>
      <c r="I28" s="150"/>
      <c r="J28" s="31">
        <v>2</v>
      </c>
      <c r="K28" s="31">
        <v>8</v>
      </c>
      <c r="L28" s="31">
        <v>18</v>
      </c>
      <c r="M28" s="31">
        <v>29</v>
      </c>
      <c r="N28" s="136"/>
      <c r="O28" s="144"/>
    </row>
    <row r="29" spans="1:15" ht="16.8" thickBot="1" x14ac:dyDescent="0.35">
      <c r="A29" s="71"/>
      <c r="B29" s="149"/>
      <c r="C29" s="34">
        <v>-7</v>
      </c>
      <c r="D29" s="34">
        <v>-20</v>
      </c>
      <c r="E29" s="34">
        <v>-31</v>
      </c>
      <c r="F29" s="34">
        <f>((155)/(2))*(-1)</f>
        <v>-77.5</v>
      </c>
      <c r="G29" s="34">
        <f>((250)/(2))*(-1)</f>
        <v>-125</v>
      </c>
      <c r="H29" s="151"/>
      <c r="I29" s="151"/>
      <c r="J29" s="34">
        <v>-25</v>
      </c>
      <c r="K29" s="34">
        <v>-32</v>
      </c>
      <c r="L29" s="34">
        <v>-45</v>
      </c>
      <c r="M29" s="34">
        <v>-68</v>
      </c>
      <c r="N29" s="137"/>
      <c r="O29" s="145"/>
    </row>
    <row r="30" spans="1:15" x14ac:dyDescent="0.3">
      <c r="A30" s="70">
        <v>500</v>
      </c>
      <c r="B30" s="148">
        <v>630</v>
      </c>
      <c r="C30" s="136"/>
      <c r="D30" s="136"/>
      <c r="E30" s="136"/>
      <c r="F30" s="136"/>
      <c r="G30" s="36"/>
      <c r="H30" s="136"/>
      <c r="I30" s="136"/>
      <c r="J30" s="136"/>
      <c r="K30" s="31">
        <v>0</v>
      </c>
      <c r="L30" s="31">
        <v>0</v>
      </c>
      <c r="M30" s="31">
        <v>0</v>
      </c>
      <c r="N30" s="136"/>
      <c r="O30" s="144"/>
    </row>
    <row r="31" spans="1:15" ht="16.8" thickBot="1" x14ac:dyDescent="0.35">
      <c r="A31" s="71"/>
      <c r="B31" s="149"/>
      <c r="C31" s="137"/>
      <c r="D31" s="137"/>
      <c r="E31" s="137"/>
      <c r="F31" s="137"/>
      <c r="G31" s="37"/>
      <c r="H31" s="137"/>
      <c r="I31" s="137"/>
      <c r="J31" s="137"/>
      <c r="K31" s="34">
        <v>-44</v>
      </c>
      <c r="L31" s="34">
        <v>-70</v>
      </c>
      <c r="M31" s="34">
        <v>-110</v>
      </c>
      <c r="N31" s="137"/>
      <c r="O31" s="145"/>
    </row>
    <row r="32" spans="1:15" x14ac:dyDescent="0.3">
      <c r="A32" s="70">
        <v>630</v>
      </c>
      <c r="B32" s="148">
        <v>800</v>
      </c>
      <c r="C32" s="136"/>
      <c r="D32" s="136"/>
      <c r="E32" s="136"/>
      <c r="F32" s="136"/>
      <c r="G32" s="36"/>
      <c r="H32" s="136"/>
      <c r="I32" s="136"/>
      <c r="J32" s="136"/>
      <c r="K32" s="31">
        <v>0</v>
      </c>
      <c r="L32" s="31">
        <v>0</v>
      </c>
      <c r="M32" s="31">
        <v>0</v>
      </c>
      <c r="N32" s="136"/>
      <c r="O32" s="144"/>
    </row>
    <row r="33" spans="1:15" ht="16.8" thickBot="1" x14ac:dyDescent="0.35">
      <c r="A33" s="71"/>
      <c r="B33" s="149"/>
      <c r="C33" s="137"/>
      <c r="D33" s="137"/>
      <c r="E33" s="137"/>
      <c r="F33" s="137"/>
      <c r="G33" s="37"/>
      <c r="H33" s="137"/>
      <c r="I33" s="137"/>
      <c r="J33" s="137"/>
      <c r="K33" s="34">
        <v>-50</v>
      </c>
      <c r="L33" s="34">
        <v>-80</v>
      </c>
      <c r="M33" s="34">
        <v>-125</v>
      </c>
      <c r="N33" s="137"/>
      <c r="O33" s="145"/>
    </row>
    <row r="34" spans="1:15" x14ac:dyDescent="0.3">
      <c r="A34" s="70">
        <v>800</v>
      </c>
      <c r="B34" s="146">
        <v>1000</v>
      </c>
      <c r="C34" s="136"/>
      <c r="D34" s="136"/>
      <c r="E34" s="136"/>
      <c r="F34" s="136"/>
      <c r="G34" s="36"/>
      <c r="H34" s="136"/>
      <c r="I34" s="136"/>
      <c r="J34" s="136"/>
      <c r="K34" s="31">
        <v>0</v>
      </c>
      <c r="L34" s="31">
        <v>0</v>
      </c>
      <c r="M34" s="31">
        <v>0</v>
      </c>
      <c r="N34" s="136"/>
      <c r="O34" s="144"/>
    </row>
    <row r="35" spans="1:15" ht="16.8" thickBot="1" x14ac:dyDescent="0.35">
      <c r="A35" s="71"/>
      <c r="B35" s="147"/>
      <c r="C35" s="137"/>
      <c r="D35" s="137"/>
      <c r="E35" s="137"/>
      <c r="F35" s="137"/>
      <c r="G35" s="37"/>
      <c r="H35" s="137"/>
      <c r="I35" s="137"/>
      <c r="J35" s="137"/>
      <c r="K35" s="34">
        <v>-56</v>
      </c>
      <c r="L35" s="34">
        <v>-90</v>
      </c>
      <c r="M35" s="34">
        <v>-140</v>
      </c>
      <c r="N35" s="137"/>
      <c r="O35" s="145"/>
    </row>
    <row r="36" spans="1:15" x14ac:dyDescent="0.3">
      <c r="A36" s="61">
        <v>1000</v>
      </c>
      <c r="B36" s="100">
        <v>1250</v>
      </c>
      <c r="C36" s="136"/>
      <c r="D36" s="136"/>
      <c r="E36" s="136"/>
      <c r="F36" s="136"/>
      <c r="G36" s="36"/>
      <c r="H36" s="136"/>
      <c r="I36" s="136"/>
      <c r="J36" s="136"/>
      <c r="K36" s="31">
        <v>0</v>
      </c>
      <c r="L36" s="31">
        <v>0</v>
      </c>
      <c r="M36" s="31">
        <v>0</v>
      </c>
      <c r="N36" s="136"/>
      <c r="O36" s="144"/>
    </row>
    <row r="37" spans="1:15" ht="16.8" thickBot="1" x14ac:dyDescent="0.35">
      <c r="A37" s="62"/>
      <c r="B37" s="101"/>
      <c r="C37" s="137"/>
      <c r="D37" s="137"/>
      <c r="E37" s="137"/>
      <c r="F37" s="137"/>
      <c r="G37" s="37"/>
      <c r="H37" s="137"/>
      <c r="I37" s="137"/>
      <c r="J37" s="137"/>
      <c r="K37" s="34">
        <v>-66</v>
      </c>
      <c r="L37" s="34">
        <v>-105</v>
      </c>
      <c r="M37" s="34">
        <v>-165</v>
      </c>
      <c r="N37" s="137"/>
      <c r="O37" s="145"/>
    </row>
    <row r="38" spans="1:15" x14ac:dyDescent="0.3">
      <c r="A38" s="61">
        <v>1250</v>
      </c>
      <c r="B38" s="100">
        <v>1600</v>
      </c>
      <c r="C38" s="136"/>
      <c r="D38" s="136"/>
      <c r="E38" s="136"/>
      <c r="F38" s="136"/>
      <c r="G38" s="36"/>
      <c r="H38" s="136"/>
      <c r="I38" s="136"/>
      <c r="J38" s="136"/>
      <c r="K38" s="31">
        <v>0</v>
      </c>
      <c r="L38" s="31">
        <v>0</v>
      </c>
      <c r="M38" s="31">
        <v>0</v>
      </c>
      <c r="N38" s="136"/>
      <c r="O38" s="144"/>
    </row>
    <row r="39" spans="1:15" ht="16.8" thickBot="1" x14ac:dyDescent="0.35">
      <c r="A39" s="62"/>
      <c r="B39" s="101"/>
      <c r="C39" s="137"/>
      <c r="D39" s="137"/>
      <c r="E39" s="137"/>
      <c r="F39" s="137"/>
      <c r="G39" s="37"/>
      <c r="H39" s="137"/>
      <c r="I39" s="137"/>
      <c r="J39" s="137"/>
      <c r="K39" s="34">
        <v>-78</v>
      </c>
      <c r="L39" s="34">
        <v>-125</v>
      </c>
      <c r="M39" s="34">
        <v>-195</v>
      </c>
      <c r="N39" s="137"/>
      <c r="O39" s="145"/>
    </row>
    <row r="40" spans="1:15" x14ac:dyDescent="0.3">
      <c r="A40" s="61">
        <v>1600</v>
      </c>
      <c r="B40" s="100">
        <v>2000</v>
      </c>
      <c r="C40" s="136"/>
      <c r="D40" s="136"/>
      <c r="E40" s="136"/>
      <c r="F40" s="136"/>
      <c r="G40" s="36"/>
      <c r="H40" s="136"/>
      <c r="I40" s="136"/>
      <c r="J40" s="136"/>
      <c r="K40" s="31">
        <v>0</v>
      </c>
      <c r="L40" s="31">
        <v>0</v>
      </c>
      <c r="M40" s="31">
        <v>0</v>
      </c>
      <c r="N40" s="136"/>
      <c r="O40" s="144"/>
    </row>
    <row r="41" spans="1:15" ht="16.8" thickBot="1" x14ac:dyDescent="0.35">
      <c r="A41" s="62"/>
      <c r="B41" s="101"/>
      <c r="C41" s="137"/>
      <c r="D41" s="137"/>
      <c r="E41" s="137"/>
      <c r="F41" s="137"/>
      <c r="G41" s="37"/>
      <c r="H41" s="137"/>
      <c r="I41" s="137"/>
      <c r="J41" s="137"/>
      <c r="K41" s="34">
        <v>-92</v>
      </c>
      <c r="L41" s="34">
        <v>-150</v>
      </c>
      <c r="M41" s="34">
        <v>-230</v>
      </c>
      <c r="N41" s="137"/>
      <c r="O41" s="145"/>
    </row>
    <row r="42" spans="1:15" x14ac:dyDescent="0.3">
      <c r="A42" s="61">
        <v>2000</v>
      </c>
      <c r="B42" s="100">
        <v>2500</v>
      </c>
      <c r="C42" s="136"/>
      <c r="D42" s="136"/>
      <c r="E42" s="136"/>
      <c r="F42" s="136"/>
      <c r="G42" s="36"/>
      <c r="H42" s="136"/>
      <c r="I42" s="136"/>
      <c r="J42" s="136"/>
      <c r="K42" s="31">
        <v>0</v>
      </c>
      <c r="L42" s="31">
        <v>0</v>
      </c>
      <c r="M42" s="31">
        <v>0</v>
      </c>
      <c r="N42" s="136"/>
      <c r="O42" s="144"/>
    </row>
    <row r="43" spans="1:15" ht="16.8" thickBot="1" x14ac:dyDescent="0.35">
      <c r="A43" s="62"/>
      <c r="B43" s="101"/>
      <c r="C43" s="137"/>
      <c r="D43" s="137"/>
      <c r="E43" s="137"/>
      <c r="F43" s="137"/>
      <c r="G43" s="37"/>
      <c r="H43" s="137"/>
      <c r="I43" s="137"/>
      <c r="J43" s="137"/>
      <c r="K43" s="34">
        <v>-110</v>
      </c>
      <c r="L43" s="34">
        <v>-175</v>
      </c>
      <c r="M43" s="34">
        <v>-280</v>
      </c>
      <c r="N43" s="137"/>
      <c r="O43" s="145"/>
    </row>
    <row r="44" spans="1:15" x14ac:dyDescent="0.3">
      <c r="A44" s="61">
        <v>2500</v>
      </c>
      <c r="B44" s="100">
        <v>3150</v>
      </c>
      <c r="C44" s="136"/>
      <c r="D44" s="136"/>
      <c r="E44" s="136"/>
      <c r="F44" s="136"/>
      <c r="G44" s="36"/>
      <c r="H44" s="136"/>
      <c r="I44" s="136"/>
      <c r="J44" s="136"/>
      <c r="K44" s="31">
        <v>0</v>
      </c>
      <c r="L44" s="31">
        <v>0</v>
      </c>
      <c r="M44" s="31">
        <v>0</v>
      </c>
      <c r="N44" s="136"/>
      <c r="O44" s="144"/>
    </row>
    <row r="45" spans="1:15" ht="16.8" thickBot="1" x14ac:dyDescent="0.35">
      <c r="A45" s="62"/>
      <c r="B45" s="101"/>
      <c r="C45" s="137"/>
      <c r="D45" s="137"/>
      <c r="E45" s="137"/>
      <c r="F45" s="137"/>
      <c r="G45" s="37"/>
      <c r="H45" s="137"/>
      <c r="I45" s="137"/>
      <c r="J45" s="137"/>
      <c r="K45" s="34">
        <v>-135</v>
      </c>
      <c r="L45" s="34">
        <v>-210</v>
      </c>
      <c r="M45" s="34">
        <v>-330</v>
      </c>
      <c r="N45" s="137"/>
      <c r="O45" s="145"/>
    </row>
    <row r="46" spans="1:15" ht="16.2" customHeight="1" thickBot="1" x14ac:dyDescent="0.35">
      <c r="A46" s="138" t="s">
        <v>40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40"/>
    </row>
    <row r="47" spans="1:15" ht="16.2" customHeight="1" thickBot="1" x14ac:dyDescent="0.35">
      <c r="A47" s="138" t="s">
        <v>41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40"/>
    </row>
    <row r="48" spans="1:15" ht="16.8" customHeight="1" thickBot="1" x14ac:dyDescent="0.35">
      <c r="A48" s="141" t="s">
        <v>42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3"/>
    </row>
  </sheetData>
  <mergeCells count="159">
    <mergeCell ref="A6:A7"/>
    <mergeCell ref="B6:B7"/>
    <mergeCell ref="N6:N7"/>
    <mergeCell ref="O6:O7"/>
    <mergeCell ref="A1:B1"/>
    <mergeCell ref="A2:B2"/>
    <mergeCell ref="H1:O2"/>
    <mergeCell ref="A4:A5"/>
    <mergeCell ref="B4:B5"/>
    <mergeCell ref="C1:G2"/>
    <mergeCell ref="A12:A13"/>
    <mergeCell ref="B12:B13"/>
    <mergeCell ref="N12:N13"/>
    <mergeCell ref="O12:O13"/>
    <mergeCell ref="A14:A15"/>
    <mergeCell ref="B14:B15"/>
    <mergeCell ref="N14:N15"/>
    <mergeCell ref="O14:O15"/>
    <mergeCell ref="A8:A9"/>
    <mergeCell ref="B8:B9"/>
    <mergeCell ref="N8:N9"/>
    <mergeCell ref="O8:O9"/>
    <mergeCell ref="A10:A11"/>
    <mergeCell ref="B10:B11"/>
    <mergeCell ref="N10:N11"/>
    <mergeCell ref="O10:O11"/>
    <mergeCell ref="O16:O17"/>
    <mergeCell ref="A18:A19"/>
    <mergeCell ref="B18:B19"/>
    <mergeCell ref="H18:H19"/>
    <mergeCell ref="I18:I19"/>
    <mergeCell ref="N18:N19"/>
    <mergeCell ref="O18:O19"/>
    <mergeCell ref="A16:A17"/>
    <mergeCell ref="B16:B17"/>
    <mergeCell ref="H16:H17"/>
    <mergeCell ref="I16:I17"/>
    <mergeCell ref="N16:N17"/>
    <mergeCell ref="O20:O21"/>
    <mergeCell ref="A22:A23"/>
    <mergeCell ref="B22:B23"/>
    <mergeCell ref="H22:H23"/>
    <mergeCell ref="I22:I23"/>
    <mergeCell ref="N22:N23"/>
    <mergeCell ref="O22:O23"/>
    <mergeCell ref="A20:A21"/>
    <mergeCell ref="B20:B21"/>
    <mergeCell ref="H20:H21"/>
    <mergeCell ref="I20:I21"/>
    <mergeCell ref="N20:N21"/>
    <mergeCell ref="O24:O25"/>
    <mergeCell ref="A26:A27"/>
    <mergeCell ref="B26:B27"/>
    <mergeCell ref="H26:H27"/>
    <mergeCell ref="I26:I27"/>
    <mergeCell ref="N26:N27"/>
    <mergeCell ref="O26:O27"/>
    <mergeCell ref="A24:A25"/>
    <mergeCell ref="B24:B25"/>
    <mergeCell ref="H24:H25"/>
    <mergeCell ref="I24:I25"/>
    <mergeCell ref="N24:N25"/>
    <mergeCell ref="A36:A37"/>
    <mergeCell ref="B36:B37"/>
    <mergeCell ref="C36:C37"/>
    <mergeCell ref="D36:D37"/>
    <mergeCell ref="E36:E37"/>
    <mergeCell ref="F36:F37"/>
    <mergeCell ref="H36:H37"/>
    <mergeCell ref="O28:O29"/>
    <mergeCell ref="A30:A31"/>
    <mergeCell ref="B30:B31"/>
    <mergeCell ref="C30:C31"/>
    <mergeCell ref="D30:D31"/>
    <mergeCell ref="E30:E31"/>
    <mergeCell ref="F30:F31"/>
    <mergeCell ref="H30:H31"/>
    <mergeCell ref="I30:I31"/>
    <mergeCell ref="A28:A29"/>
    <mergeCell ref="B28:B29"/>
    <mergeCell ref="H28:H29"/>
    <mergeCell ref="I28:I29"/>
    <mergeCell ref="N28:N29"/>
    <mergeCell ref="J30:J31"/>
    <mergeCell ref="N30:N31"/>
    <mergeCell ref="O30:O31"/>
    <mergeCell ref="I32:I33"/>
    <mergeCell ref="J32:J33"/>
    <mergeCell ref="N32:N33"/>
    <mergeCell ref="O32:O33"/>
    <mergeCell ref="A34:A35"/>
    <mergeCell ref="B34:B35"/>
    <mergeCell ref="C34:C35"/>
    <mergeCell ref="D34:D35"/>
    <mergeCell ref="E34:E35"/>
    <mergeCell ref="F34:F35"/>
    <mergeCell ref="A32:A33"/>
    <mergeCell ref="B32:B33"/>
    <mergeCell ref="C32:C33"/>
    <mergeCell ref="D32:D33"/>
    <mergeCell ref="E32:E33"/>
    <mergeCell ref="F32:F33"/>
    <mergeCell ref="H32:H33"/>
    <mergeCell ref="I36:I37"/>
    <mergeCell ref="J36:J37"/>
    <mergeCell ref="N36:N37"/>
    <mergeCell ref="O36:O37"/>
    <mergeCell ref="H34:H35"/>
    <mergeCell ref="I34:I35"/>
    <mergeCell ref="J34:J35"/>
    <mergeCell ref="N34:N35"/>
    <mergeCell ref="O34:O35"/>
    <mergeCell ref="O42:O43"/>
    <mergeCell ref="A40:A41"/>
    <mergeCell ref="B40:B41"/>
    <mergeCell ref="C40:C41"/>
    <mergeCell ref="D40:D41"/>
    <mergeCell ref="E40:E41"/>
    <mergeCell ref="A38:A39"/>
    <mergeCell ref="B38:B39"/>
    <mergeCell ref="C38:C39"/>
    <mergeCell ref="D38:D39"/>
    <mergeCell ref="E38:E39"/>
    <mergeCell ref="F40:F41"/>
    <mergeCell ref="H40:H41"/>
    <mergeCell ref="I40:I41"/>
    <mergeCell ref="J40:J41"/>
    <mergeCell ref="N40:N41"/>
    <mergeCell ref="O40:O41"/>
    <mergeCell ref="H38:H39"/>
    <mergeCell ref="I38:I39"/>
    <mergeCell ref="J38:J39"/>
    <mergeCell ref="N38:N39"/>
    <mergeCell ref="O38:O39"/>
    <mergeCell ref="F38:F39"/>
    <mergeCell ref="A42:A43"/>
    <mergeCell ref="B42:B43"/>
    <mergeCell ref="C42:C43"/>
    <mergeCell ref="D42:D43"/>
    <mergeCell ref="A46:O46"/>
    <mergeCell ref="A47:O47"/>
    <mergeCell ref="A48:O48"/>
    <mergeCell ref="F44:F45"/>
    <mergeCell ref="H44:H45"/>
    <mergeCell ref="I44:I45"/>
    <mergeCell ref="J44:J45"/>
    <mergeCell ref="N44:N45"/>
    <mergeCell ref="O44:O45"/>
    <mergeCell ref="A44:A45"/>
    <mergeCell ref="B44:B45"/>
    <mergeCell ref="C44:C45"/>
    <mergeCell ref="D44:D45"/>
    <mergeCell ref="E44:E45"/>
    <mergeCell ref="E42:E43"/>
    <mergeCell ref="F42:F43"/>
    <mergeCell ref="H42:H43"/>
    <mergeCell ref="I42:I43"/>
    <mergeCell ref="J42:J43"/>
    <mergeCell ref="N42:N4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AA63-6509-4E25-A7BB-0C19C48B1B71}">
  <dimension ref="A1:S47"/>
  <sheetViews>
    <sheetView topLeftCell="A19" workbookViewId="0">
      <selection activeCell="A46" sqref="A46:S46"/>
    </sheetView>
  </sheetViews>
  <sheetFormatPr defaultRowHeight="16.2" x14ac:dyDescent="0.3"/>
  <sheetData>
    <row r="1" spans="1:19" ht="16.8" thickTop="1" x14ac:dyDescent="0.3">
      <c r="A1" s="102" t="s">
        <v>6</v>
      </c>
      <c r="B1" s="103"/>
      <c r="C1" s="92" t="s">
        <v>43</v>
      </c>
      <c r="D1" s="78"/>
      <c r="E1" s="78"/>
      <c r="F1" s="78"/>
      <c r="G1" s="78"/>
      <c r="H1" s="78"/>
      <c r="I1" s="78"/>
      <c r="J1" s="93"/>
      <c r="K1" s="92" t="s">
        <v>44</v>
      </c>
      <c r="L1" s="78"/>
      <c r="M1" s="78"/>
      <c r="N1" s="78"/>
      <c r="O1" s="78"/>
      <c r="P1" s="78"/>
      <c r="Q1" s="78"/>
      <c r="R1" s="78"/>
      <c r="S1" s="79"/>
    </row>
    <row r="2" spans="1:19" ht="16.8" thickBot="1" x14ac:dyDescent="0.35">
      <c r="A2" s="85" t="s">
        <v>1</v>
      </c>
      <c r="B2" s="104"/>
      <c r="C2" s="94"/>
      <c r="D2" s="81"/>
      <c r="E2" s="81"/>
      <c r="F2" s="81"/>
      <c r="G2" s="81"/>
      <c r="H2" s="81"/>
      <c r="I2" s="81"/>
      <c r="J2" s="95"/>
      <c r="K2" s="94"/>
      <c r="L2" s="81"/>
      <c r="M2" s="81"/>
      <c r="N2" s="81"/>
      <c r="O2" s="81"/>
      <c r="P2" s="81"/>
      <c r="Q2" s="81"/>
      <c r="R2" s="81"/>
      <c r="S2" s="82"/>
    </row>
    <row r="3" spans="1:19" ht="16.8" thickBot="1" x14ac:dyDescent="0.35">
      <c r="A3" s="44" t="s">
        <v>3</v>
      </c>
      <c r="B3" s="22" t="s">
        <v>4</v>
      </c>
      <c r="C3" s="20">
        <v>3</v>
      </c>
      <c r="D3" s="20">
        <v>4</v>
      </c>
      <c r="E3" s="20">
        <v>5</v>
      </c>
      <c r="F3" s="20">
        <v>6</v>
      </c>
      <c r="G3" s="20">
        <v>7</v>
      </c>
      <c r="H3" s="20">
        <v>8</v>
      </c>
      <c r="I3" s="20">
        <v>9</v>
      </c>
      <c r="J3" s="24">
        <v>10</v>
      </c>
      <c r="K3" s="20">
        <v>3</v>
      </c>
      <c r="L3" s="20">
        <v>4</v>
      </c>
      <c r="M3" s="20">
        <v>5</v>
      </c>
      <c r="N3" s="20">
        <v>6</v>
      </c>
      <c r="O3" s="20">
        <v>7</v>
      </c>
      <c r="P3" s="20">
        <v>8</v>
      </c>
      <c r="Q3" s="23" t="s">
        <v>37</v>
      </c>
      <c r="R3" s="23" t="s">
        <v>45</v>
      </c>
      <c r="S3" s="25" t="s">
        <v>46</v>
      </c>
    </row>
    <row r="4" spans="1:19" x14ac:dyDescent="0.3">
      <c r="A4" s="152" t="s">
        <v>5</v>
      </c>
      <c r="B4" s="100" t="s">
        <v>21</v>
      </c>
      <c r="C4" s="31">
        <v>-2</v>
      </c>
      <c r="D4" s="31">
        <v>-2</v>
      </c>
      <c r="E4" s="31">
        <v>-2</v>
      </c>
      <c r="F4" s="31">
        <v>-2</v>
      </c>
      <c r="G4" s="31">
        <v>-2</v>
      </c>
      <c r="H4" s="31">
        <v>-2</v>
      </c>
      <c r="I4" s="31">
        <v>-2</v>
      </c>
      <c r="J4" s="31">
        <v>-2</v>
      </c>
      <c r="K4" s="30">
        <v>-4</v>
      </c>
      <c r="L4" s="30">
        <v>-4</v>
      </c>
      <c r="M4" s="31">
        <v>-4</v>
      </c>
      <c r="N4" s="31">
        <v>-4</v>
      </c>
      <c r="O4" s="31">
        <v>-4</v>
      </c>
      <c r="P4" s="31">
        <v>-4</v>
      </c>
      <c r="Q4" s="31">
        <v>-4</v>
      </c>
      <c r="R4" s="31">
        <v>-4</v>
      </c>
      <c r="S4" s="32">
        <v>-4</v>
      </c>
    </row>
    <row r="5" spans="1:19" ht="16.8" thickBot="1" x14ac:dyDescent="0.35">
      <c r="A5" s="153"/>
      <c r="B5" s="101"/>
      <c r="C5" s="34">
        <v>-4</v>
      </c>
      <c r="D5" s="34">
        <v>-5</v>
      </c>
      <c r="E5" s="34">
        <v>-6</v>
      </c>
      <c r="F5" s="34">
        <v>-8</v>
      </c>
      <c r="G5" s="34">
        <v>-12</v>
      </c>
      <c r="H5" s="34">
        <v>-16</v>
      </c>
      <c r="I5" s="34">
        <v>-27</v>
      </c>
      <c r="J5" s="34">
        <v>-42</v>
      </c>
      <c r="K5" s="33">
        <v>-6</v>
      </c>
      <c r="L5" s="33">
        <v>-7</v>
      </c>
      <c r="M5" s="34">
        <v>-8</v>
      </c>
      <c r="N5" s="34">
        <v>-10</v>
      </c>
      <c r="O5" s="34">
        <v>-14</v>
      </c>
      <c r="P5" s="34">
        <v>-18</v>
      </c>
      <c r="Q5" s="34">
        <v>-29</v>
      </c>
      <c r="R5" s="34">
        <v>-44</v>
      </c>
      <c r="S5" s="35">
        <v>-64</v>
      </c>
    </row>
    <row r="6" spans="1:19" x14ac:dyDescent="0.3">
      <c r="A6" s="61">
        <v>3</v>
      </c>
      <c r="B6" s="100">
        <v>6</v>
      </c>
      <c r="C6" s="31">
        <v>-3</v>
      </c>
      <c r="D6" s="31">
        <v>-2.5</v>
      </c>
      <c r="E6" s="31">
        <v>-3</v>
      </c>
      <c r="F6" s="31">
        <v>-1</v>
      </c>
      <c r="G6" s="31">
        <v>0</v>
      </c>
      <c r="H6" s="31">
        <v>2</v>
      </c>
      <c r="I6" s="31">
        <v>-4</v>
      </c>
      <c r="J6" s="31">
        <v>-4</v>
      </c>
      <c r="K6" s="30">
        <v>-7</v>
      </c>
      <c r="L6" s="31">
        <v>-6.5</v>
      </c>
      <c r="M6" s="31">
        <v>-7</v>
      </c>
      <c r="N6" s="31">
        <v>-5</v>
      </c>
      <c r="O6" s="31">
        <v>-4</v>
      </c>
      <c r="P6" s="31">
        <v>-2</v>
      </c>
      <c r="Q6" s="31">
        <v>0</v>
      </c>
      <c r="R6" s="31">
        <v>0</v>
      </c>
      <c r="S6" s="32">
        <v>0</v>
      </c>
    </row>
    <row r="7" spans="1:19" ht="16.8" thickBot="1" x14ac:dyDescent="0.35">
      <c r="A7" s="62"/>
      <c r="B7" s="101"/>
      <c r="C7" s="34">
        <v>-5.5</v>
      </c>
      <c r="D7" s="34">
        <v>-6.5</v>
      </c>
      <c r="E7" s="34">
        <v>-8</v>
      </c>
      <c r="F7" s="34">
        <v>-9</v>
      </c>
      <c r="G7" s="34">
        <v>-12</v>
      </c>
      <c r="H7" s="34">
        <v>-16</v>
      </c>
      <c r="I7" s="34">
        <v>-34</v>
      </c>
      <c r="J7" s="34">
        <v>-52</v>
      </c>
      <c r="K7" s="34">
        <v>-9.5</v>
      </c>
      <c r="L7" s="34">
        <v>-10.5</v>
      </c>
      <c r="M7" s="34">
        <v>-12</v>
      </c>
      <c r="N7" s="34">
        <v>-13</v>
      </c>
      <c r="O7" s="34">
        <v>-16</v>
      </c>
      <c r="P7" s="34">
        <v>-20</v>
      </c>
      <c r="Q7" s="34">
        <v>-30</v>
      </c>
      <c r="R7" s="34">
        <v>-48</v>
      </c>
      <c r="S7" s="35">
        <v>-75</v>
      </c>
    </row>
    <row r="8" spans="1:19" x14ac:dyDescent="0.3">
      <c r="A8" s="61">
        <v>6</v>
      </c>
      <c r="B8" s="100">
        <v>10</v>
      </c>
      <c r="C8" s="31">
        <v>-5</v>
      </c>
      <c r="D8" s="31">
        <v>-4.5</v>
      </c>
      <c r="E8" s="31">
        <v>-4</v>
      </c>
      <c r="F8" s="31">
        <v>-3</v>
      </c>
      <c r="G8" s="31">
        <v>0</v>
      </c>
      <c r="H8" s="31">
        <v>1</v>
      </c>
      <c r="I8" s="31">
        <v>-6</v>
      </c>
      <c r="J8" s="31">
        <v>-6</v>
      </c>
      <c r="K8" s="31">
        <v>-9</v>
      </c>
      <c r="L8" s="31">
        <v>-8.5</v>
      </c>
      <c r="M8" s="31">
        <v>-8</v>
      </c>
      <c r="N8" s="31">
        <v>-7</v>
      </c>
      <c r="O8" s="31">
        <v>-4</v>
      </c>
      <c r="P8" s="31">
        <v>-3</v>
      </c>
      <c r="Q8" s="31">
        <v>0</v>
      </c>
      <c r="R8" s="31">
        <v>0</v>
      </c>
      <c r="S8" s="32">
        <v>0</v>
      </c>
    </row>
    <row r="9" spans="1:19" ht="16.8" thickBot="1" x14ac:dyDescent="0.35">
      <c r="A9" s="62"/>
      <c r="B9" s="101"/>
      <c r="C9" s="34">
        <v>-7.5</v>
      </c>
      <c r="D9" s="34">
        <v>-8.5</v>
      </c>
      <c r="E9" s="34">
        <v>-10</v>
      </c>
      <c r="F9" s="34">
        <v>-12</v>
      </c>
      <c r="G9" s="34">
        <v>-15</v>
      </c>
      <c r="H9" s="34">
        <v>-21</v>
      </c>
      <c r="I9" s="34">
        <v>-42</v>
      </c>
      <c r="J9" s="34">
        <v>-64</v>
      </c>
      <c r="K9" s="34">
        <v>-11.5</v>
      </c>
      <c r="L9" s="34">
        <v>-12.5</v>
      </c>
      <c r="M9" s="34">
        <v>-14</v>
      </c>
      <c r="N9" s="34">
        <v>-16</v>
      </c>
      <c r="O9" s="34">
        <v>-19</v>
      </c>
      <c r="P9" s="34">
        <v>-25</v>
      </c>
      <c r="Q9" s="34">
        <v>-36</v>
      </c>
      <c r="R9" s="34">
        <v>-58</v>
      </c>
      <c r="S9" s="35">
        <v>-90</v>
      </c>
    </row>
    <row r="10" spans="1:19" x14ac:dyDescent="0.3">
      <c r="A10" s="61">
        <v>10</v>
      </c>
      <c r="B10" s="100">
        <v>18</v>
      </c>
      <c r="C10" s="31">
        <v>-6</v>
      </c>
      <c r="D10" s="31">
        <v>-5</v>
      </c>
      <c r="E10" s="31">
        <v>-4</v>
      </c>
      <c r="F10" s="31">
        <v>-4</v>
      </c>
      <c r="G10" s="31">
        <v>0</v>
      </c>
      <c r="H10" s="31">
        <v>2</v>
      </c>
      <c r="I10" s="31">
        <v>-7</v>
      </c>
      <c r="J10" s="31">
        <v>-7</v>
      </c>
      <c r="K10" s="31">
        <v>-11</v>
      </c>
      <c r="L10" s="31">
        <v>-10</v>
      </c>
      <c r="M10" s="31">
        <v>-9</v>
      </c>
      <c r="N10" s="31">
        <v>-9</v>
      </c>
      <c r="O10" s="31">
        <v>-5</v>
      </c>
      <c r="P10" s="31">
        <v>-3</v>
      </c>
      <c r="Q10" s="31">
        <v>0</v>
      </c>
      <c r="R10" s="31">
        <v>0</v>
      </c>
      <c r="S10" s="32">
        <v>0</v>
      </c>
    </row>
    <row r="11" spans="1:19" ht="16.8" thickBot="1" x14ac:dyDescent="0.35">
      <c r="A11" s="62"/>
      <c r="B11" s="101"/>
      <c r="C11" s="34">
        <v>-9</v>
      </c>
      <c r="D11" s="34">
        <v>-10</v>
      </c>
      <c r="E11" s="34">
        <v>-12</v>
      </c>
      <c r="F11" s="34">
        <v>-15</v>
      </c>
      <c r="G11" s="34">
        <v>-18</v>
      </c>
      <c r="H11" s="34">
        <v>-25</v>
      </c>
      <c r="I11" s="34">
        <v>-50</v>
      </c>
      <c r="J11" s="34">
        <v>-77</v>
      </c>
      <c r="K11" s="34">
        <v>-14</v>
      </c>
      <c r="L11" s="34">
        <v>-15</v>
      </c>
      <c r="M11" s="34">
        <v>-17</v>
      </c>
      <c r="N11" s="34">
        <v>-20</v>
      </c>
      <c r="O11" s="34">
        <v>-23</v>
      </c>
      <c r="P11" s="34">
        <v>-30</v>
      </c>
      <c r="Q11" s="34">
        <v>-43</v>
      </c>
      <c r="R11" s="34">
        <v>-70</v>
      </c>
      <c r="S11" s="35">
        <v>-110</v>
      </c>
    </row>
    <row r="12" spans="1:19" x14ac:dyDescent="0.3">
      <c r="A12" s="61">
        <v>18</v>
      </c>
      <c r="B12" s="100">
        <v>30</v>
      </c>
      <c r="C12" s="31">
        <v>-6.5</v>
      </c>
      <c r="D12" s="31">
        <v>-6</v>
      </c>
      <c r="E12" s="31">
        <v>-5</v>
      </c>
      <c r="F12" s="31">
        <v>-4</v>
      </c>
      <c r="G12" s="31">
        <v>0</v>
      </c>
      <c r="H12" s="31">
        <v>4</v>
      </c>
      <c r="I12" s="31">
        <v>-8</v>
      </c>
      <c r="J12" s="31">
        <v>-8</v>
      </c>
      <c r="K12" s="31">
        <v>-13.5</v>
      </c>
      <c r="L12" s="31">
        <v>-13</v>
      </c>
      <c r="M12" s="31">
        <v>-12</v>
      </c>
      <c r="N12" s="31">
        <v>-11</v>
      </c>
      <c r="O12" s="31">
        <v>-7</v>
      </c>
      <c r="P12" s="31">
        <v>-3</v>
      </c>
      <c r="Q12" s="31">
        <v>0</v>
      </c>
      <c r="R12" s="31">
        <v>0</v>
      </c>
      <c r="S12" s="32">
        <v>0</v>
      </c>
    </row>
    <row r="13" spans="1:19" ht="16.8" thickBot="1" x14ac:dyDescent="0.35">
      <c r="A13" s="62"/>
      <c r="B13" s="101"/>
      <c r="C13" s="34">
        <v>-10.5</v>
      </c>
      <c r="D13" s="34">
        <v>-12</v>
      </c>
      <c r="E13" s="34">
        <v>-14</v>
      </c>
      <c r="F13" s="34">
        <v>-17</v>
      </c>
      <c r="G13" s="34">
        <v>-21</v>
      </c>
      <c r="H13" s="34">
        <v>-29</v>
      </c>
      <c r="I13" s="34">
        <v>-60</v>
      </c>
      <c r="J13" s="34">
        <v>-92</v>
      </c>
      <c r="K13" s="34">
        <v>-17.5</v>
      </c>
      <c r="L13" s="34">
        <v>-19</v>
      </c>
      <c r="M13" s="34">
        <v>-21</v>
      </c>
      <c r="N13" s="34">
        <v>-24</v>
      </c>
      <c r="O13" s="34">
        <v>-28</v>
      </c>
      <c r="P13" s="34">
        <v>-36</v>
      </c>
      <c r="Q13" s="34">
        <v>-52</v>
      </c>
      <c r="R13" s="34">
        <v>-84</v>
      </c>
      <c r="S13" s="35">
        <v>-130</v>
      </c>
    </row>
    <row r="14" spans="1:19" x14ac:dyDescent="0.3">
      <c r="A14" s="61">
        <v>30</v>
      </c>
      <c r="B14" s="100">
        <v>50</v>
      </c>
      <c r="C14" s="31">
        <v>-7.5</v>
      </c>
      <c r="D14" s="31">
        <v>-6</v>
      </c>
      <c r="E14" s="31">
        <v>-5</v>
      </c>
      <c r="F14" s="31">
        <v>-4</v>
      </c>
      <c r="G14" s="31">
        <v>0</v>
      </c>
      <c r="H14" s="31">
        <v>5</v>
      </c>
      <c r="I14" s="31">
        <v>-9</v>
      </c>
      <c r="J14" s="31">
        <v>-9</v>
      </c>
      <c r="K14" s="31">
        <v>-15.5</v>
      </c>
      <c r="L14" s="31">
        <v>-14</v>
      </c>
      <c r="M14" s="31">
        <v>-13</v>
      </c>
      <c r="N14" s="31">
        <v>-12</v>
      </c>
      <c r="O14" s="31">
        <v>-8</v>
      </c>
      <c r="P14" s="31">
        <v>-3</v>
      </c>
      <c r="Q14" s="31">
        <v>0</v>
      </c>
      <c r="R14" s="31">
        <v>0</v>
      </c>
      <c r="S14" s="32">
        <v>0</v>
      </c>
    </row>
    <row r="15" spans="1:19" ht="16.8" thickBot="1" x14ac:dyDescent="0.35">
      <c r="A15" s="62"/>
      <c r="B15" s="101"/>
      <c r="C15" s="34">
        <v>-11.5</v>
      </c>
      <c r="D15" s="34">
        <v>-13</v>
      </c>
      <c r="E15" s="34">
        <v>-16</v>
      </c>
      <c r="F15" s="34">
        <v>-20</v>
      </c>
      <c r="G15" s="34">
        <v>-25</v>
      </c>
      <c r="H15" s="34">
        <v>-34</v>
      </c>
      <c r="I15" s="34">
        <v>-71</v>
      </c>
      <c r="J15" s="34">
        <v>-109</v>
      </c>
      <c r="K15" s="34">
        <v>-19.5</v>
      </c>
      <c r="L15" s="34">
        <v>-21</v>
      </c>
      <c r="M15" s="34">
        <v>-24</v>
      </c>
      <c r="N15" s="34">
        <v>-28</v>
      </c>
      <c r="O15" s="34">
        <v>-33</v>
      </c>
      <c r="P15" s="34">
        <v>-42</v>
      </c>
      <c r="Q15" s="34">
        <v>-62</v>
      </c>
      <c r="R15" s="34">
        <v>-100</v>
      </c>
      <c r="S15" s="35">
        <v>-160</v>
      </c>
    </row>
    <row r="16" spans="1:19" x14ac:dyDescent="0.3">
      <c r="A16" s="61">
        <v>50</v>
      </c>
      <c r="B16" s="100">
        <v>80</v>
      </c>
      <c r="C16" s="136"/>
      <c r="D16" s="136"/>
      <c r="E16" s="31">
        <v>-6</v>
      </c>
      <c r="F16" s="31">
        <v>-5</v>
      </c>
      <c r="G16" s="31">
        <v>0</v>
      </c>
      <c r="H16" s="31">
        <v>5</v>
      </c>
      <c r="I16" s="136"/>
      <c r="J16" s="136"/>
      <c r="K16" s="136"/>
      <c r="L16" s="136"/>
      <c r="M16" s="31">
        <v>-15</v>
      </c>
      <c r="N16" s="31">
        <v>-14</v>
      </c>
      <c r="O16" s="31">
        <v>-9</v>
      </c>
      <c r="P16" s="31">
        <v>-4</v>
      </c>
      <c r="Q16" s="31">
        <v>0</v>
      </c>
      <c r="R16" s="31">
        <v>0</v>
      </c>
      <c r="S16" s="32">
        <v>0</v>
      </c>
    </row>
    <row r="17" spans="1:19" ht="16.8" thickBot="1" x14ac:dyDescent="0.35">
      <c r="A17" s="62"/>
      <c r="B17" s="101"/>
      <c r="C17" s="137"/>
      <c r="D17" s="137"/>
      <c r="E17" s="34">
        <v>-19</v>
      </c>
      <c r="F17" s="34">
        <v>-24</v>
      </c>
      <c r="G17" s="34">
        <v>-30</v>
      </c>
      <c r="H17" s="34">
        <v>-41</v>
      </c>
      <c r="I17" s="137"/>
      <c r="J17" s="137"/>
      <c r="K17" s="137"/>
      <c r="L17" s="137"/>
      <c r="M17" s="34">
        <v>-28</v>
      </c>
      <c r="N17" s="34">
        <v>-33</v>
      </c>
      <c r="O17" s="34">
        <v>-39</v>
      </c>
      <c r="P17" s="34">
        <v>-50</v>
      </c>
      <c r="Q17" s="34">
        <v>-74</v>
      </c>
      <c r="R17" s="34">
        <v>-120</v>
      </c>
      <c r="S17" s="35">
        <v>-190</v>
      </c>
    </row>
    <row r="18" spans="1:19" x14ac:dyDescent="0.3">
      <c r="A18" s="61">
        <v>80</v>
      </c>
      <c r="B18" s="100">
        <v>120</v>
      </c>
      <c r="C18" s="136"/>
      <c r="D18" s="136"/>
      <c r="E18" s="31">
        <v>-8</v>
      </c>
      <c r="F18" s="31">
        <v>-6</v>
      </c>
      <c r="G18" s="31">
        <v>0</v>
      </c>
      <c r="H18" s="31">
        <v>6</v>
      </c>
      <c r="I18" s="136"/>
      <c r="J18" s="136"/>
      <c r="K18" s="136"/>
      <c r="L18" s="136"/>
      <c r="M18" s="31">
        <v>-18</v>
      </c>
      <c r="N18" s="31">
        <v>-16</v>
      </c>
      <c r="O18" s="31">
        <v>-10</v>
      </c>
      <c r="P18" s="31">
        <v>-4</v>
      </c>
      <c r="Q18" s="31">
        <v>0</v>
      </c>
      <c r="R18" s="31">
        <v>0</v>
      </c>
      <c r="S18" s="32">
        <v>0</v>
      </c>
    </row>
    <row r="19" spans="1:19" ht="16.8" thickBot="1" x14ac:dyDescent="0.35">
      <c r="A19" s="62"/>
      <c r="B19" s="101"/>
      <c r="C19" s="137"/>
      <c r="D19" s="137"/>
      <c r="E19" s="34">
        <v>-23</v>
      </c>
      <c r="F19" s="34">
        <v>-28</v>
      </c>
      <c r="G19" s="34">
        <v>-35</v>
      </c>
      <c r="H19" s="34">
        <v>-48</v>
      </c>
      <c r="I19" s="137"/>
      <c r="J19" s="137"/>
      <c r="K19" s="137"/>
      <c r="L19" s="137"/>
      <c r="M19" s="34">
        <v>-33</v>
      </c>
      <c r="N19" s="34">
        <v>-38</v>
      </c>
      <c r="O19" s="34">
        <v>-45</v>
      </c>
      <c r="P19" s="34">
        <v>-58</v>
      </c>
      <c r="Q19" s="34">
        <v>-87</v>
      </c>
      <c r="R19" s="34">
        <v>-140</v>
      </c>
      <c r="S19" s="35">
        <v>-220</v>
      </c>
    </row>
    <row r="20" spans="1:19" x14ac:dyDescent="0.3">
      <c r="A20" s="70">
        <v>120</v>
      </c>
      <c r="B20" s="100">
        <v>180</v>
      </c>
      <c r="C20" s="136"/>
      <c r="D20" s="136"/>
      <c r="E20" s="31">
        <v>-9</v>
      </c>
      <c r="F20" s="31">
        <v>-8</v>
      </c>
      <c r="G20" s="31">
        <v>0</v>
      </c>
      <c r="H20" s="31">
        <v>8</v>
      </c>
      <c r="I20" s="136"/>
      <c r="J20" s="136"/>
      <c r="K20" s="136"/>
      <c r="L20" s="136"/>
      <c r="M20" s="31">
        <v>-21</v>
      </c>
      <c r="N20" s="31">
        <v>-20</v>
      </c>
      <c r="O20" s="31">
        <v>-12</v>
      </c>
      <c r="P20" s="31">
        <v>-4</v>
      </c>
      <c r="Q20" s="31">
        <v>0</v>
      </c>
      <c r="R20" s="31">
        <v>0</v>
      </c>
      <c r="S20" s="32">
        <v>0</v>
      </c>
    </row>
    <row r="21" spans="1:19" ht="16.8" thickBot="1" x14ac:dyDescent="0.35">
      <c r="A21" s="71"/>
      <c r="B21" s="101"/>
      <c r="C21" s="137"/>
      <c r="D21" s="137"/>
      <c r="E21" s="34">
        <v>-27</v>
      </c>
      <c r="F21" s="34">
        <v>-33</v>
      </c>
      <c r="G21" s="34">
        <v>-40</v>
      </c>
      <c r="H21" s="34">
        <v>-55</v>
      </c>
      <c r="I21" s="137"/>
      <c r="J21" s="137"/>
      <c r="K21" s="137"/>
      <c r="L21" s="137"/>
      <c r="M21" s="34">
        <v>-39</v>
      </c>
      <c r="N21" s="34">
        <v>-45</v>
      </c>
      <c r="O21" s="34">
        <v>-52</v>
      </c>
      <c r="P21" s="34">
        <v>-67</v>
      </c>
      <c r="Q21" s="34">
        <v>-100</v>
      </c>
      <c r="R21" s="34">
        <v>-160</v>
      </c>
      <c r="S21" s="35">
        <v>-250</v>
      </c>
    </row>
    <row r="22" spans="1:19" x14ac:dyDescent="0.3">
      <c r="A22" s="70">
        <v>180</v>
      </c>
      <c r="B22" s="100">
        <v>250</v>
      </c>
      <c r="C22" s="136"/>
      <c r="D22" s="136"/>
      <c r="E22" s="31">
        <v>-11</v>
      </c>
      <c r="F22" s="31">
        <v>-8</v>
      </c>
      <c r="G22" s="31">
        <v>0</v>
      </c>
      <c r="H22" s="31">
        <v>9</v>
      </c>
      <c r="I22" s="136"/>
      <c r="J22" s="136"/>
      <c r="K22" s="136"/>
      <c r="L22" s="136"/>
      <c r="M22" s="31">
        <v>-25</v>
      </c>
      <c r="N22" s="31">
        <v>-22</v>
      </c>
      <c r="O22" s="31">
        <v>-14</v>
      </c>
      <c r="P22" s="31">
        <v>-5</v>
      </c>
      <c r="Q22" s="31">
        <v>0</v>
      </c>
      <c r="R22" s="31">
        <v>0</v>
      </c>
      <c r="S22" s="32">
        <v>0</v>
      </c>
    </row>
    <row r="23" spans="1:19" ht="16.8" thickBot="1" x14ac:dyDescent="0.35">
      <c r="A23" s="71"/>
      <c r="B23" s="101"/>
      <c r="C23" s="137"/>
      <c r="D23" s="137"/>
      <c r="E23" s="34">
        <v>-31</v>
      </c>
      <c r="F23" s="34">
        <v>-37</v>
      </c>
      <c r="G23" s="34">
        <v>-46</v>
      </c>
      <c r="H23" s="34">
        <v>-63</v>
      </c>
      <c r="I23" s="137"/>
      <c r="J23" s="137"/>
      <c r="K23" s="137"/>
      <c r="L23" s="137"/>
      <c r="M23" s="34">
        <v>-45</v>
      </c>
      <c r="N23" s="34">
        <v>-51</v>
      </c>
      <c r="O23" s="34">
        <v>-60</v>
      </c>
      <c r="P23" s="34">
        <v>-77</v>
      </c>
      <c r="Q23" s="34">
        <v>-115</v>
      </c>
      <c r="R23" s="34">
        <v>-185</v>
      </c>
      <c r="S23" s="35">
        <v>-290</v>
      </c>
    </row>
    <row r="24" spans="1:19" x14ac:dyDescent="0.3">
      <c r="A24" s="70">
        <v>250</v>
      </c>
      <c r="B24" s="100">
        <v>315</v>
      </c>
      <c r="C24" s="136"/>
      <c r="D24" s="136"/>
      <c r="E24" s="31">
        <v>-13</v>
      </c>
      <c r="F24" s="31">
        <v>-9</v>
      </c>
      <c r="G24" s="31">
        <v>0</v>
      </c>
      <c r="H24" s="31">
        <v>9</v>
      </c>
      <c r="I24" s="136"/>
      <c r="J24" s="136"/>
      <c r="K24" s="136"/>
      <c r="L24" s="136"/>
      <c r="M24" s="31">
        <v>-27</v>
      </c>
      <c r="N24" s="31">
        <v>-25</v>
      </c>
      <c r="O24" s="31">
        <v>-14</v>
      </c>
      <c r="P24" s="31">
        <v>-5</v>
      </c>
      <c r="Q24" s="31">
        <v>0</v>
      </c>
      <c r="R24" s="31">
        <v>0</v>
      </c>
      <c r="S24" s="32">
        <v>0</v>
      </c>
    </row>
    <row r="25" spans="1:19" ht="16.8" thickBot="1" x14ac:dyDescent="0.35">
      <c r="A25" s="71"/>
      <c r="B25" s="101"/>
      <c r="C25" s="137"/>
      <c r="D25" s="137"/>
      <c r="E25" s="34">
        <v>-36</v>
      </c>
      <c r="F25" s="34">
        <v>-41</v>
      </c>
      <c r="G25" s="34">
        <v>-52</v>
      </c>
      <c r="H25" s="34">
        <v>-72</v>
      </c>
      <c r="I25" s="137"/>
      <c r="J25" s="137"/>
      <c r="K25" s="137"/>
      <c r="L25" s="137"/>
      <c r="M25" s="34">
        <v>-50</v>
      </c>
      <c r="N25" s="34">
        <v>-57</v>
      </c>
      <c r="O25" s="34">
        <v>-66</v>
      </c>
      <c r="P25" s="34">
        <v>-86</v>
      </c>
      <c r="Q25" s="34">
        <v>-130</v>
      </c>
      <c r="R25" s="34">
        <v>-210</v>
      </c>
      <c r="S25" s="35">
        <v>-320</v>
      </c>
    </row>
    <row r="26" spans="1:19" x14ac:dyDescent="0.3">
      <c r="A26" s="70">
        <v>315</v>
      </c>
      <c r="B26" s="100">
        <v>400</v>
      </c>
      <c r="C26" s="136"/>
      <c r="D26" s="136"/>
      <c r="E26" s="31">
        <v>-14</v>
      </c>
      <c r="F26" s="31">
        <v>-10</v>
      </c>
      <c r="G26" s="31">
        <v>0</v>
      </c>
      <c r="H26" s="31">
        <v>11</v>
      </c>
      <c r="I26" s="136"/>
      <c r="J26" s="136"/>
      <c r="K26" s="136"/>
      <c r="L26" s="136"/>
      <c r="M26" s="31">
        <v>-30</v>
      </c>
      <c r="N26" s="31">
        <v>-26</v>
      </c>
      <c r="O26" s="31">
        <v>-16</v>
      </c>
      <c r="P26" s="31">
        <v>-5</v>
      </c>
      <c r="Q26" s="31">
        <v>0</v>
      </c>
      <c r="R26" s="31">
        <v>0</v>
      </c>
      <c r="S26" s="32">
        <v>0</v>
      </c>
    </row>
    <row r="27" spans="1:19" ht="16.8" thickBot="1" x14ac:dyDescent="0.35">
      <c r="A27" s="71"/>
      <c r="B27" s="101"/>
      <c r="C27" s="137"/>
      <c r="D27" s="137"/>
      <c r="E27" s="34">
        <v>-39</v>
      </c>
      <c r="F27" s="34">
        <v>-46</v>
      </c>
      <c r="G27" s="34">
        <v>-57</v>
      </c>
      <c r="H27" s="34">
        <v>-78</v>
      </c>
      <c r="I27" s="137"/>
      <c r="J27" s="137"/>
      <c r="K27" s="137"/>
      <c r="L27" s="137"/>
      <c r="M27" s="34">
        <v>-55</v>
      </c>
      <c r="N27" s="34">
        <v>-62</v>
      </c>
      <c r="O27" s="34">
        <v>-73</v>
      </c>
      <c r="P27" s="34">
        <v>-94</v>
      </c>
      <c r="Q27" s="34">
        <v>-140</v>
      </c>
      <c r="R27" s="34">
        <v>-230</v>
      </c>
      <c r="S27" s="35">
        <v>-360</v>
      </c>
    </row>
    <row r="28" spans="1:19" x14ac:dyDescent="0.3">
      <c r="A28" s="70">
        <v>400</v>
      </c>
      <c r="B28" s="100">
        <v>500</v>
      </c>
      <c r="C28" s="136"/>
      <c r="D28" s="136"/>
      <c r="E28" s="31">
        <v>-16</v>
      </c>
      <c r="F28" s="31">
        <v>-10</v>
      </c>
      <c r="G28" s="31">
        <v>0</v>
      </c>
      <c r="H28" s="31">
        <v>11</v>
      </c>
      <c r="I28" s="136"/>
      <c r="J28" s="136"/>
      <c r="K28" s="136"/>
      <c r="L28" s="136"/>
      <c r="M28" s="31">
        <v>-33</v>
      </c>
      <c r="N28" s="31">
        <v>-27</v>
      </c>
      <c r="O28" s="31">
        <v>-17</v>
      </c>
      <c r="P28" s="31">
        <v>-6</v>
      </c>
      <c r="Q28" s="31">
        <v>0</v>
      </c>
      <c r="R28" s="31">
        <v>0</v>
      </c>
      <c r="S28" s="32">
        <v>0</v>
      </c>
    </row>
    <row r="29" spans="1:19" ht="16.8" thickBot="1" x14ac:dyDescent="0.35">
      <c r="A29" s="71"/>
      <c r="B29" s="101"/>
      <c r="C29" s="137"/>
      <c r="D29" s="137"/>
      <c r="E29" s="34">
        <v>-43</v>
      </c>
      <c r="F29" s="34">
        <v>-50</v>
      </c>
      <c r="G29" s="34">
        <v>-63</v>
      </c>
      <c r="H29" s="34">
        <v>-86</v>
      </c>
      <c r="I29" s="137"/>
      <c r="J29" s="137"/>
      <c r="K29" s="137"/>
      <c r="L29" s="137"/>
      <c r="M29" s="34">
        <v>-60</v>
      </c>
      <c r="N29" s="34">
        <v>-67</v>
      </c>
      <c r="O29" s="34">
        <v>-80</v>
      </c>
      <c r="P29" s="34">
        <v>-103</v>
      </c>
      <c r="Q29" s="34">
        <v>-155</v>
      </c>
      <c r="R29" s="34">
        <v>-250</v>
      </c>
      <c r="S29" s="35">
        <v>-400</v>
      </c>
    </row>
    <row r="30" spans="1:19" x14ac:dyDescent="0.3">
      <c r="A30" s="70">
        <v>500</v>
      </c>
      <c r="B30" s="100">
        <v>630</v>
      </c>
      <c r="C30" s="136"/>
      <c r="D30" s="136"/>
      <c r="E30" s="136"/>
      <c r="F30" s="31">
        <v>-26</v>
      </c>
      <c r="G30" s="31">
        <v>-26</v>
      </c>
      <c r="H30" s="31">
        <v>-26</v>
      </c>
      <c r="I30" s="136"/>
      <c r="J30" s="136"/>
      <c r="K30" s="136"/>
      <c r="L30" s="136"/>
      <c r="M30" s="136"/>
      <c r="N30" s="31">
        <v>-44</v>
      </c>
      <c r="O30" s="31">
        <v>-44</v>
      </c>
      <c r="P30" s="31">
        <v>-44</v>
      </c>
      <c r="Q30" s="31">
        <v>-44</v>
      </c>
      <c r="R30" s="136"/>
      <c r="S30" s="144"/>
    </row>
    <row r="31" spans="1:19" ht="16.8" thickBot="1" x14ac:dyDescent="0.35">
      <c r="A31" s="71"/>
      <c r="B31" s="101"/>
      <c r="C31" s="137"/>
      <c r="D31" s="137"/>
      <c r="E31" s="137"/>
      <c r="F31" s="34">
        <v>-70</v>
      </c>
      <c r="G31" s="34">
        <v>-96</v>
      </c>
      <c r="H31" s="34">
        <v>-136</v>
      </c>
      <c r="I31" s="137"/>
      <c r="J31" s="137"/>
      <c r="K31" s="137"/>
      <c r="L31" s="137"/>
      <c r="M31" s="137"/>
      <c r="N31" s="34">
        <v>-88</v>
      </c>
      <c r="O31" s="34">
        <v>-114</v>
      </c>
      <c r="P31" s="34">
        <v>-154</v>
      </c>
      <c r="Q31" s="34">
        <v>-219</v>
      </c>
      <c r="R31" s="137"/>
      <c r="S31" s="145"/>
    </row>
    <row r="32" spans="1:19" x14ac:dyDescent="0.3">
      <c r="A32" s="70">
        <v>630</v>
      </c>
      <c r="B32" s="100">
        <v>800</v>
      </c>
      <c r="C32" s="136"/>
      <c r="D32" s="136"/>
      <c r="E32" s="136"/>
      <c r="F32" s="31">
        <v>-30</v>
      </c>
      <c r="G32" s="31">
        <v>-30</v>
      </c>
      <c r="H32" s="31">
        <v>-30</v>
      </c>
      <c r="I32" s="136"/>
      <c r="J32" s="136"/>
      <c r="K32" s="136"/>
      <c r="L32" s="136"/>
      <c r="M32" s="136"/>
      <c r="N32" s="31">
        <v>-50</v>
      </c>
      <c r="O32" s="31">
        <v>-50</v>
      </c>
      <c r="P32" s="31">
        <v>-50</v>
      </c>
      <c r="Q32" s="31">
        <v>-50</v>
      </c>
      <c r="R32" s="136"/>
      <c r="S32" s="144"/>
    </row>
    <row r="33" spans="1:19" ht="16.8" thickBot="1" x14ac:dyDescent="0.35">
      <c r="A33" s="71"/>
      <c r="B33" s="101"/>
      <c r="C33" s="137"/>
      <c r="D33" s="137"/>
      <c r="E33" s="137"/>
      <c r="F33" s="34">
        <v>-80</v>
      </c>
      <c r="G33" s="34">
        <v>-110</v>
      </c>
      <c r="H33" s="34">
        <v>-155</v>
      </c>
      <c r="I33" s="137"/>
      <c r="J33" s="137"/>
      <c r="K33" s="137"/>
      <c r="L33" s="137"/>
      <c r="M33" s="137"/>
      <c r="N33" s="34">
        <v>-100</v>
      </c>
      <c r="O33" s="34">
        <v>-130</v>
      </c>
      <c r="P33" s="34">
        <v>-175</v>
      </c>
      <c r="Q33" s="34">
        <v>-250</v>
      </c>
      <c r="R33" s="137"/>
      <c r="S33" s="145"/>
    </row>
    <row r="34" spans="1:19" x14ac:dyDescent="0.3">
      <c r="A34" s="70">
        <v>800</v>
      </c>
      <c r="B34" s="98">
        <v>1000</v>
      </c>
      <c r="C34" s="136"/>
      <c r="D34" s="136"/>
      <c r="E34" s="136"/>
      <c r="F34" s="31">
        <v>-34</v>
      </c>
      <c r="G34" s="31">
        <v>-34</v>
      </c>
      <c r="H34" s="31">
        <v>-34</v>
      </c>
      <c r="I34" s="136"/>
      <c r="J34" s="136"/>
      <c r="K34" s="136"/>
      <c r="L34" s="136"/>
      <c r="M34" s="136"/>
      <c r="N34" s="31">
        <v>-56</v>
      </c>
      <c r="O34" s="31">
        <v>-56</v>
      </c>
      <c r="P34" s="31">
        <v>-56</v>
      </c>
      <c r="Q34" s="31">
        <v>-56</v>
      </c>
      <c r="R34" s="136"/>
      <c r="S34" s="144"/>
    </row>
    <row r="35" spans="1:19" ht="16.8" thickBot="1" x14ac:dyDescent="0.35">
      <c r="A35" s="71"/>
      <c r="B35" s="99"/>
      <c r="C35" s="137"/>
      <c r="D35" s="137"/>
      <c r="E35" s="137"/>
      <c r="F35" s="34">
        <v>-90</v>
      </c>
      <c r="G35" s="34">
        <v>-124</v>
      </c>
      <c r="H35" s="34">
        <v>-174</v>
      </c>
      <c r="I35" s="137"/>
      <c r="J35" s="137"/>
      <c r="K35" s="137"/>
      <c r="L35" s="137"/>
      <c r="M35" s="137"/>
      <c r="N35" s="34">
        <v>-112</v>
      </c>
      <c r="O35" s="34">
        <v>-146</v>
      </c>
      <c r="P35" s="34">
        <v>-196</v>
      </c>
      <c r="Q35" s="34">
        <v>-286</v>
      </c>
      <c r="R35" s="137"/>
      <c r="S35" s="145"/>
    </row>
    <row r="36" spans="1:19" x14ac:dyDescent="0.3">
      <c r="A36" s="61">
        <v>1000</v>
      </c>
      <c r="B36" s="61">
        <v>1250</v>
      </c>
      <c r="C36" s="136"/>
      <c r="D36" s="136"/>
      <c r="E36" s="136"/>
      <c r="F36" s="31">
        <v>-40</v>
      </c>
      <c r="G36" s="31">
        <v>-40</v>
      </c>
      <c r="H36" s="31">
        <v>-40</v>
      </c>
      <c r="I36" s="136"/>
      <c r="J36" s="136"/>
      <c r="K36" s="136"/>
      <c r="L36" s="136"/>
      <c r="M36" s="136"/>
      <c r="N36" s="31">
        <v>-66</v>
      </c>
      <c r="O36" s="31">
        <v>-66</v>
      </c>
      <c r="P36" s="31">
        <v>-66</v>
      </c>
      <c r="Q36" s="31">
        <v>-66</v>
      </c>
      <c r="R36" s="136"/>
      <c r="S36" s="144"/>
    </row>
    <row r="37" spans="1:19" ht="16.8" thickBot="1" x14ac:dyDescent="0.35">
      <c r="A37" s="62"/>
      <c r="B37" s="62"/>
      <c r="C37" s="137"/>
      <c r="D37" s="137"/>
      <c r="E37" s="137"/>
      <c r="F37" s="34">
        <v>-106</v>
      </c>
      <c r="G37" s="34">
        <v>-145</v>
      </c>
      <c r="H37" s="34">
        <v>-205</v>
      </c>
      <c r="I37" s="137"/>
      <c r="J37" s="137"/>
      <c r="K37" s="137"/>
      <c r="L37" s="137"/>
      <c r="M37" s="137"/>
      <c r="N37" s="34">
        <v>-132</v>
      </c>
      <c r="O37" s="34">
        <v>-171</v>
      </c>
      <c r="P37" s="34">
        <v>-231</v>
      </c>
      <c r="Q37" s="34">
        <v>-326</v>
      </c>
      <c r="R37" s="137"/>
      <c r="S37" s="145"/>
    </row>
    <row r="38" spans="1:19" x14ac:dyDescent="0.3">
      <c r="A38" s="61">
        <v>1250</v>
      </c>
      <c r="B38" s="61">
        <v>1600</v>
      </c>
      <c r="C38" s="136"/>
      <c r="D38" s="136"/>
      <c r="E38" s="136"/>
      <c r="F38" s="31">
        <v>-48</v>
      </c>
      <c r="G38" s="31">
        <v>-48</v>
      </c>
      <c r="H38" s="31">
        <v>-48</v>
      </c>
      <c r="I38" s="136"/>
      <c r="J38" s="136"/>
      <c r="K38" s="136"/>
      <c r="L38" s="136"/>
      <c r="M38" s="136"/>
      <c r="N38" s="31">
        <v>-78</v>
      </c>
      <c r="O38" s="31">
        <v>-78</v>
      </c>
      <c r="P38" s="31">
        <v>-78</v>
      </c>
      <c r="Q38" s="31">
        <v>-78</v>
      </c>
      <c r="R38" s="136"/>
      <c r="S38" s="144"/>
    </row>
    <row r="39" spans="1:19" ht="16.8" thickBot="1" x14ac:dyDescent="0.35">
      <c r="A39" s="62"/>
      <c r="B39" s="62"/>
      <c r="C39" s="137"/>
      <c r="D39" s="137"/>
      <c r="E39" s="137"/>
      <c r="F39" s="34">
        <v>-126</v>
      </c>
      <c r="G39" s="34">
        <v>-173</v>
      </c>
      <c r="H39" s="34">
        <v>-243</v>
      </c>
      <c r="I39" s="137"/>
      <c r="J39" s="137"/>
      <c r="K39" s="137"/>
      <c r="L39" s="137"/>
      <c r="M39" s="137"/>
      <c r="N39" s="34">
        <v>-156</v>
      </c>
      <c r="O39" s="34">
        <v>-203</v>
      </c>
      <c r="P39" s="34">
        <v>-273</v>
      </c>
      <c r="Q39" s="34">
        <v>-388</v>
      </c>
      <c r="R39" s="137"/>
      <c r="S39" s="145"/>
    </row>
    <row r="40" spans="1:19" x14ac:dyDescent="0.3">
      <c r="A40" s="61">
        <v>1600</v>
      </c>
      <c r="B40" s="61">
        <v>2000</v>
      </c>
      <c r="C40" s="136"/>
      <c r="D40" s="136"/>
      <c r="E40" s="136"/>
      <c r="F40" s="31">
        <v>-58</v>
      </c>
      <c r="G40" s="31">
        <v>-58</v>
      </c>
      <c r="H40" s="31">
        <v>-58</v>
      </c>
      <c r="I40" s="136"/>
      <c r="J40" s="136"/>
      <c r="K40" s="136"/>
      <c r="L40" s="136"/>
      <c r="M40" s="136"/>
      <c r="N40" s="31">
        <v>-92</v>
      </c>
      <c r="O40" s="31">
        <v>-92</v>
      </c>
      <c r="P40" s="31">
        <v>-92</v>
      </c>
      <c r="Q40" s="31">
        <v>-92</v>
      </c>
      <c r="R40" s="136"/>
      <c r="S40" s="144"/>
    </row>
    <row r="41" spans="1:19" ht="16.8" thickBot="1" x14ac:dyDescent="0.35">
      <c r="A41" s="62"/>
      <c r="B41" s="62"/>
      <c r="C41" s="137"/>
      <c r="D41" s="137"/>
      <c r="E41" s="137"/>
      <c r="F41" s="34">
        <v>-150</v>
      </c>
      <c r="G41" s="34">
        <v>-208</v>
      </c>
      <c r="H41" s="34">
        <v>-288</v>
      </c>
      <c r="I41" s="137"/>
      <c r="J41" s="137"/>
      <c r="K41" s="137"/>
      <c r="L41" s="137"/>
      <c r="M41" s="137"/>
      <c r="N41" s="34">
        <v>-184</v>
      </c>
      <c r="O41" s="34">
        <v>-242</v>
      </c>
      <c r="P41" s="34">
        <v>-322</v>
      </c>
      <c r="Q41" s="34">
        <v>-462</v>
      </c>
      <c r="R41" s="137"/>
      <c r="S41" s="145"/>
    </row>
    <row r="42" spans="1:19" x14ac:dyDescent="0.3">
      <c r="A42" s="61">
        <v>2000</v>
      </c>
      <c r="B42" s="61">
        <v>2500</v>
      </c>
      <c r="C42" s="136"/>
      <c r="D42" s="136"/>
      <c r="E42" s="136"/>
      <c r="F42" s="31">
        <v>-68</v>
      </c>
      <c r="G42" s="31">
        <v>-68</v>
      </c>
      <c r="H42" s="31">
        <v>-68</v>
      </c>
      <c r="I42" s="136"/>
      <c r="J42" s="136"/>
      <c r="K42" s="136"/>
      <c r="L42" s="136"/>
      <c r="M42" s="136"/>
      <c r="N42" s="31">
        <v>-110</v>
      </c>
      <c r="O42" s="31">
        <v>-110</v>
      </c>
      <c r="P42" s="31">
        <v>-110</v>
      </c>
      <c r="Q42" s="31">
        <v>-110</v>
      </c>
      <c r="R42" s="136"/>
      <c r="S42" s="144"/>
    </row>
    <row r="43" spans="1:19" ht="16.8" thickBot="1" x14ac:dyDescent="0.35">
      <c r="A43" s="62"/>
      <c r="B43" s="62"/>
      <c r="C43" s="137"/>
      <c r="D43" s="137"/>
      <c r="E43" s="137"/>
      <c r="F43" s="34">
        <v>-178</v>
      </c>
      <c r="G43" s="34">
        <v>-243</v>
      </c>
      <c r="H43" s="34">
        <v>-348</v>
      </c>
      <c r="I43" s="137"/>
      <c r="J43" s="137"/>
      <c r="K43" s="137"/>
      <c r="L43" s="137"/>
      <c r="M43" s="137"/>
      <c r="N43" s="34">
        <v>-220</v>
      </c>
      <c r="O43" s="34">
        <v>-285</v>
      </c>
      <c r="P43" s="34">
        <v>-390</v>
      </c>
      <c r="Q43" s="34">
        <v>-550</v>
      </c>
      <c r="R43" s="137"/>
      <c r="S43" s="145"/>
    </row>
    <row r="44" spans="1:19" x14ac:dyDescent="0.3">
      <c r="A44" s="61">
        <v>2500</v>
      </c>
      <c r="B44" s="61">
        <v>3150</v>
      </c>
      <c r="C44" s="136"/>
      <c r="D44" s="136"/>
      <c r="E44" s="136"/>
      <c r="F44" s="31">
        <v>-76</v>
      </c>
      <c r="G44" s="31">
        <v>-76</v>
      </c>
      <c r="H44" s="31">
        <v>-76</v>
      </c>
      <c r="I44" s="136"/>
      <c r="J44" s="136"/>
      <c r="K44" s="136"/>
      <c r="L44" s="136"/>
      <c r="M44" s="136"/>
      <c r="N44" s="31">
        <v>-135</v>
      </c>
      <c r="O44" s="31">
        <v>-135</v>
      </c>
      <c r="P44" s="31">
        <v>-135</v>
      </c>
      <c r="Q44" s="31">
        <v>-135</v>
      </c>
      <c r="R44" s="136"/>
      <c r="S44" s="144"/>
    </row>
    <row r="45" spans="1:19" ht="16.8" thickBot="1" x14ac:dyDescent="0.35">
      <c r="A45" s="62"/>
      <c r="B45" s="62"/>
      <c r="C45" s="137"/>
      <c r="D45" s="137"/>
      <c r="E45" s="137"/>
      <c r="F45" s="34">
        <v>-211</v>
      </c>
      <c r="G45" s="34">
        <v>-286</v>
      </c>
      <c r="H45" s="34">
        <v>-406</v>
      </c>
      <c r="I45" s="137"/>
      <c r="J45" s="137"/>
      <c r="K45" s="137"/>
      <c r="L45" s="137"/>
      <c r="M45" s="137"/>
      <c r="N45" s="34">
        <v>-270</v>
      </c>
      <c r="O45" s="34">
        <v>-345</v>
      </c>
      <c r="P45" s="34">
        <v>-465</v>
      </c>
      <c r="Q45" s="34">
        <v>-675</v>
      </c>
      <c r="R45" s="137"/>
      <c r="S45" s="145"/>
    </row>
    <row r="46" spans="1:19" ht="16.8" thickBot="1" x14ac:dyDescent="0.35">
      <c r="A46" s="89" t="s">
        <v>47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1"/>
    </row>
    <row r="47" spans="1:19" ht="16.8" thickTop="1" x14ac:dyDescent="0.3"/>
  </sheetData>
  <mergeCells count="169">
    <mergeCell ref="K1:S2"/>
    <mergeCell ref="A4:A5"/>
    <mergeCell ref="B4:B5"/>
    <mergeCell ref="A6:A7"/>
    <mergeCell ref="B6:B7"/>
    <mergeCell ref="A8:A9"/>
    <mergeCell ref="B8:B9"/>
    <mergeCell ref="A10:A11"/>
    <mergeCell ref="B10:B11"/>
    <mergeCell ref="A1:B1"/>
    <mergeCell ref="A2:B2"/>
    <mergeCell ref="C1:J2"/>
    <mergeCell ref="C16:C17"/>
    <mergeCell ref="D16:D17"/>
    <mergeCell ref="I16:I17"/>
    <mergeCell ref="J16:J17"/>
    <mergeCell ref="K16:K17"/>
    <mergeCell ref="L16:L17"/>
    <mergeCell ref="A12:A13"/>
    <mergeCell ref="B12:B13"/>
    <mergeCell ref="A14:A15"/>
    <mergeCell ref="B14:B15"/>
    <mergeCell ref="A16:A17"/>
    <mergeCell ref="B16:B17"/>
    <mergeCell ref="K18:K19"/>
    <mergeCell ref="L18:L19"/>
    <mergeCell ref="A20:A21"/>
    <mergeCell ref="B20:B21"/>
    <mergeCell ref="C20:C21"/>
    <mergeCell ref="D20:D21"/>
    <mergeCell ref="I20:I21"/>
    <mergeCell ref="J20:J21"/>
    <mergeCell ref="K20:K21"/>
    <mergeCell ref="L20:L21"/>
    <mergeCell ref="A18:A19"/>
    <mergeCell ref="B18:B19"/>
    <mergeCell ref="C18:C19"/>
    <mergeCell ref="D18:D19"/>
    <mergeCell ref="I18:I19"/>
    <mergeCell ref="J18:J19"/>
    <mergeCell ref="K22:K23"/>
    <mergeCell ref="L22:L23"/>
    <mergeCell ref="A24:A25"/>
    <mergeCell ref="B24:B25"/>
    <mergeCell ref="C24:C25"/>
    <mergeCell ref="D24:D25"/>
    <mergeCell ref="I24:I25"/>
    <mergeCell ref="J24:J25"/>
    <mergeCell ref="K24:K25"/>
    <mergeCell ref="L24:L25"/>
    <mergeCell ref="A22:A23"/>
    <mergeCell ref="B22:B23"/>
    <mergeCell ref="C22:C23"/>
    <mergeCell ref="D22:D23"/>
    <mergeCell ref="I22:I23"/>
    <mergeCell ref="J22:J23"/>
    <mergeCell ref="K26:K27"/>
    <mergeCell ref="L26:L27"/>
    <mergeCell ref="A28:A29"/>
    <mergeCell ref="B28:B29"/>
    <mergeCell ref="C28:C29"/>
    <mergeCell ref="D28:D29"/>
    <mergeCell ref="I28:I29"/>
    <mergeCell ref="J28:J29"/>
    <mergeCell ref="K28:K29"/>
    <mergeCell ref="L28:L29"/>
    <mergeCell ref="A26:A27"/>
    <mergeCell ref="B26:B27"/>
    <mergeCell ref="C26:C27"/>
    <mergeCell ref="D26:D27"/>
    <mergeCell ref="I26:I27"/>
    <mergeCell ref="J26:J27"/>
    <mergeCell ref="A32:A33"/>
    <mergeCell ref="B32:B33"/>
    <mergeCell ref="C32:C33"/>
    <mergeCell ref="D32:D33"/>
    <mergeCell ref="E32:E33"/>
    <mergeCell ref="I32:I33"/>
    <mergeCell ref="A30:A31"/>
    <mergeCell ref="B30:B31"/>
    <mergeCell ref="C30:C31"/>
    <mergeCell ref="D30:D31"/>
    <mergeCell ref="E30:E31"/>
    <mergeCell ref="I30:I31"/>
    <mergeCell ref="J32:J33"/>
    <mergeCell ref="K32:K33"/>
    <mergeCell ref="L32:L33"/>
    <mergeCell ref="M32:M33"/>
    <mergeCell ref="R32:R33"/>
    <mergeCell ref="S32:S33"/>
    <mergeCell ref="L30:L31"/>
    <mergeCell ref="M30:M31"/>
    <mergeCell ref="R30:R31"/>
    <mergeCell ref="S30:S31"/>
    <mergeCell ref="J30:J31"/>
    <mergeCell ref="K30:K31"/>
    <mergeCell ref="J34:J35"/>
    <mergeCell ref="K34:K35"/>
    <mergeCell ref="L34:L35"/>
    <mergeCell ref="M34:M35"/>
    <mergeCell ref="R34:R35"/>
    <mergeCell ref="S34:S35"/>
    <mergeCell ref="A34:A35"/>
    <mergeCell ref="B34:B35"/>
    <mergeCell ref="C34:C35"/>
    <mergeCell ref="D34:D35"/>
    <mergeCell ref="E34:E35"/>
    <mergeCell ref="I34:I35"/>
    <mergeCell ref="J36:J37"/>
    <mergeCell ref="K36:K37"/>
    <mergeCell ref="L36:L37"/>
    <mergeCell ref="M36:M37"/>
    <mergeCell ref="R36:R37"/>
    <mergeCell ref="S36:S37"/>
    <mergeCell ref="A36:A37"/>
    <mergeCell ref="B36:B37"/>
    <mergeCell ref="C36:C37"/>
    <mergeCell ref="D36:D37"/>
    <mergeCell ref="E36:E37"/>
    <mergeCell ref="I36:I37"/>
    <mergeCell ref="J38:J39"/>
    <mergeCell ref="K38:K39"/>
    <mergeCell ref="L38:L39"/>
    <mergeCell ref="M38:M39"/>
    <mergeCell ref="R38:R39"/>
    <mergeCell ref="S38:S39"/>
    <mergeCell ref="A38:A39"/>
    <mergeCell ref="B38:B39"/>
    <mergeCell ref="C38:C39"/>
    <mergeCell ref="D38:D39"/>
    <mergeCell ref="E38:E39"/>
    <mergeCell ref="I38:I39"/>
    <mergeCell ref="J40:J41"/>
    <mergeCell ref="K40:K41"/>
    <mergeCell ref="L40:L41"/>
    <mergeCell ref="M40:M41"/>
    <mergeCell ref="R40:R41"/>
    <mergeCell ref="S40:S41"/>
    <mergeCell ref="A40:A41"/>
    <mergeCell ref="B40:B41"/>
    <mergeCell ref="C40:C41"/>
    <mergeCell ref="D40:D41"/>
    <mergeCell ref="E40:E41"/>
    <mergeCell ref="I40:I41"/>
    <mergeCell ref="J42:J43"/>
    <mergeCell ref="K42:K43"/>
    <mergeCell ref="L42:L43"/>
    <mergeCell ref="M42:M43"/>
    <mergeCell ref="R42:R43"/>
    <mergeCell ref="S42:S43"/>
    <mergeCell ref="A42:A43"/>
    <mergeCell ref="B42:B43"/>
    <mergeCell ref="C42:C43"/>
    <mergeCell ref="D42:D43"/>
    <mergeCell ref="E42:E43"/>
    <mergeCell ref="I42:I43"/>
    <mergeCell ref="A46:S46"/>
    <mergeCell ref="J44:J45"/>
    <mergeCell ref="K44:K45"/>
    <mergeCell ref="L44:L45"/>
    <mergeCell ref="M44:M45"/>
    <mergeCell ref="R44:R45"/>
    <mergeCell ref="S44:S45"/>
    <mergeCell ref="A44:A45"/>
    <mergeCell ref="B44:B45"/>
    <mergeCell ref="C44:C45"/>
    <mergeCell ref="D44:D45"/>
    <mergeCell ref="E44:E45"/>
    <mergeCell ref="I44:I45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2BDD-96AE-4D0A-B3F1-3D76603F14AC}">
  <dimension ref="A1:J46"/>
  <sheetViews>
    <sheetView topLeftCell="A22" workbookViewId="0">
      <selection activeCell="C4" sqref="C4"/>
    </sheetView>
  </sheetViews>
  <sheetFormatPr defaultRowHeight="16.2" x14ac:dyDescent="0.3"/>
  <sheetData>
    <row r="1" spans="1:10" ht="16.8" thickTop="1" x14ac:dyDescent="0.3">
      <c r="A1" s="102" t="s">
        <v>6</v>
      </c>
      <c r="B1" s="103"/>
      <c r="C1" s="92" t="s">
        <v>48</v>
      </c>
      <c r="D1" s="78"/>
      <c r="E1" s="78"/>
      <c r="F1" s="78"/>
      <c r="G1" s="78"/>
      <c r="H1" s="78"/>
      <c r="I1" s="78"/>
      <c r="J1" s="79"/>
    </row>
    <row r="2" spans="1:10" ht="16.8" thickBot="1" x14ac:dyDescent="0.35">
      <c r="A2" s="85" t="s">
        <v>1</v>
      </c>
      <c r="B2" s="104"/>
      <c r="C2" s="94"/>
      <c r="D2" s="81"/>
      <c r="E2" s="81"/>
      <c r="F2" s="81"/>
      <c r="G2" s="81"/>
      <c r="H2" s="81"/>
      <c r="I2" s="81"/>
      <c r="J2" s="82"/>
    </row>
    <row r="3" spans="1:10" ht="16.8" thickBot="1" x14ac:dyDescent="0.35">
      <c r="A3" s="21" t="s">
        <v>3</v>
      </c>
      <c r="B3" s="22" t="s">
        <v>4</v>
      </c>
      <c r="C3" s="20">
        <v>3</v>
      </c>
      <c r="D3" s="20">
        <v>4</v>
      </c>
      <c r="E3" s="20">
        <v>5</v>
      </c>
      <c r="F3" s="20">
        <v>6</v>
      </c>
      <c r="G3" s="20">
        <v>7</v>
      </c>
      <c r="H3" s="20">
        <v>8</v>
      </c>
      <c r="I3" s="20">
        <v>9</v>
      </c>
      <c r="J3" s="2">
        <v>10</v>
      </c>
    </row>
    <row r="4" spans="1:10" x14ac:dyDescent="0.3">
      <c r="A4" s="105" t="s">
        <v>5</v>
      </c>
      <c r="B4" s="100">
        <v>3</v>
      </c>
      <c r="C4" s="31">
        <v>-6</v>
      </c>
      <c r="D4" s="31">
        <v>-6</v>
      </c>
      <c r="E4" s="31">
        <v>-6</v>
      </c>
      <c r="F4" s="31">
        <v>-6</v>
      </c>
      <c r="G4" s="31">
        <v>-6</v>
      </c>
      <c r="H4" s="31">
        <v>-6</v>
      </c>
      <c r="I4" s="31">
        <v>-6</v>
      </c>
      <c r="J4" s="32">
        <v>-6</v>
      </c>
    </row>
    <row r="5" spans="1:10" ht="16.8" thickBot="1" x14ac:dyDescent="0.35">
      <c r="A5" s="106"/>
      <c r="B5" s="101"/>
      <c r="C5" s="34">
        <v>-8</v>
      </c>
      <c r="D5" s="34">
        <v>-9</v>
      </c>
      <c r="E5" s="34">
        <v>-10</v>
      </c>
      <c r="F5" s="34">
        <v>-12</v>
      </c>
      <c r="G5" s="34">
        <v>-16</v>
      </c>
      <c r="H5" s="34">
        <v>-20</v>
      </c>
      <c r="I5" s="34">
        <v>-31</v>
      </c>
      <c r="J5" s="35">
        <v>-46</v>
      </c>
    </row>
    <row r="6" spans="1:10" x14ac:dyDescent="0.3">
      <c r="A6" s="61">
        <v>3</v>
      </c>
      <c r="B6" s="100">
        <v>6</v>
      </c>
      <c r="C6" s="31">
        <v>-11</v>
      </c>
      <c r="D6" s="31">
        <v>-10.5</v>
      </c>
      <c r="E6" s="31">
        <v>-11</v>
      </c>
      <c r="F6" s="31">
        <v>-9</v>
      </c>
      <c r="G6" s="31">
        <v>-8</v>
      </c>
      <c r="H6" s="31">
        <v>-12</v>
      </c>
      <c r="I6" s="31">
        <v>-12</v>
      </c>
      <c r="J6" s="32">
        <v>-12</v>
      </c>
    </row>
    <row r="7" spans="1:10" ht="16.8" thickBot="1" x14ac:dyDescent="0.35">
      <c r="A7" s="62"/>
      <c r="B7" s="101"/>
      <c r="C7" s="34">
        <v>-13.5</v>
      </c>
      <c r="D7" s="34">
        <v>-14.5</v>
      </c>
      <c r="E7" s="34">
        <v>-16</v>
      </c>
      <c r="F7" s="34">
        <v>-17</v>
      </c>
      <c r="G7" s="34">
        <v>-20</v>
      </c>
      <c r="H7" s="34">
        <v>-30</v>
      </c>
      <c r="I7" s="34">
        <v>-42</v>
      </c>
      <c r="J7" s="35">
        <v>-60</v>
      </c>
    </row>
    <row r="8" spans="1:10" x14ac:dyDescent="0.3">
      <c r="A8" s="61">
        <v>6</v>
      </c>
      <c r="B8" s="100">
        <v>10</v>
      </c>
      <c r="C8" s="31">
        <v>-14</v>
      </c>
      <c r="D8" s="31">
        <v>-13.5</v>
      </c>
      <c r="E8" s="31">
        <v>-13</v>
      </c>
      <c r="F8" s="31">
        <v>-12</v>
      </c>
      <c r="G8" s="31">
        <v>-9</v>
      </c>
      <c r="H8" s="31">
        <v>-15</v>
      </c>
      <c r="I8" s="31">
        <v>-15</v>
      </c>
      <c r="J8" s="32">
        <v>-15</v>
      </c>
    </row>
    <row r="9" spans="1:10" ht="16.8" thickBot="1" x14ac:dyDescent="0.35">
      <c r="A9" s="62"/>
      <c r="B9" s="101"/>
      <c r="C9" s="34">
        <v>-16.5</v>
      </c>
      <c r="D9" s="34">
        <v>-17.5</v>
      </c>
      <c r="E9" s="34">
        <v>-19</v>
      </c>
      <c r="F9" s="34">
        <v>-21</v>
      </c>
      <c r="G9" s="34">
        <v>-24</v>
      </c>
      <c r="H9" s="34">
        <v>-37</v>
      </c>
      <c r="I9" s="34">
        <v>-51</v>
      </c>
      <c r="J9" s="35">
        <v>-73</v>
      </c>
    </row>
    <row r="10" spans="1:10" x14ac:dyDescent="0.3">
      <c r="A10" s="61">
        <v>10</v>
      </c>
      <c r="B10" s="100">
        <v>18</v>
      </c>
      <c r="C10" s="31">
        <v>-17</v>
      </c>
      <c r="D10" s="31">
        <v>-16</v>
      </c>
      <c r="E10" s="31">
        <v>-15</v>
      </c>
      <c r="F10" s="31">
        <v>-15</v>
      </c>
      <c r="G10" s="31">
        <v>-11</v>
      </c>
      <c r="H10" s="31">
        <v>-18</v>
      </c>
      <c r="I10" s="31">
        <v>-18</v>
      </c>
      <c r="J10" s="32">
        <v>-18</v>
      </c>
    </row>
    <row r="11" spans="1:10" ht="16.8" thickBot="1" x14ac:dyDescent="0.35">
      <c r="A11" s="62"/>
      <c r="B11" s="101"/>
      <c r="C11" s="34">
        <v>-20</v>
      </c>
      <c r="D11" s="34">
        <v>-21</v>
      </c>
      <c r="E11" s="34">
        <v>-23</v>
      </c>
      <c r="F11" s="34">
        <v>-26</v>
      </c>
      <c r="G11" s="34">
        <v>-29</v>
      </c>
      <c r="H11" s="34">
        <v>-45</v>
      </c>
      <c r="I11" s="34">
        <v>-61</v>
      </c>
      <c r="J11" s="35">
        <v>-88</v>
      </c>
    </row>
    <row r="12" spans="1:10" x14ac:dyDescent="0.3">
      <c r="A12" s="61">
        <v>18</v>
      </c>
      <c r="B12" s="100">
        <v>30</v>
      </c>
      <c r="C12" s="31">
        <v>-20.5</v>
      </c>
      <c r="D12" s="31">
        <v>-20</v>
      </c>
      <c r="E12" s="31">
        <v>-19</v>
      </c>
      <c r="F12" s="31">
        <v>-18</v>
      </c>
      <c r="G12" s="31">
        <v>-14</v>
      </c>
      <c r="H12" s="31">
        <v>-22</v>
      </c>
      <c r="I12" s="31">
        <v>-22</v>
      </c>
      <c r="J12" s="32">
        <v>-22</v>
      </c>
    </row>
    <row r="13" spans="1:10" ht="16.8" thickBot="1" x14ac:dyDescent="0.35">
      <c r="A13" s="62"/>
      <c r="B13" s="101"/>
      <c r="C13" s="34">
        <v>-24.5</v>
      </c>
      <c r="D13" s="34">
        <v>-26</v>
      </c>
      <c r="E13" s="34">
        <v>-28</v>
      </c>
      <c r="F13" s="34">
        <v>-31</v>
      </c>
      <c r="G13" s="34">
        <v>-35</v>
      </c>
      <c r="H13" s="34">
        <v>-55</v>
      </c>
      <c r="I13" s="34">
        <v>-74</v>
      </c>
      <c r="J13" s="35">
        <v>-106</v>
      </c>
    </row>
    <row r="14" spans="1:10" x14ac:dyDescent="0.3">
      <c r="A14" s="61">
        <v>30</v>
      </c>
      <c r="B14" s="100">
        <v>50</v>
      </c>
      <c r="C14" s="31">
        <v>-24.5</v>
      </c>
      <c r="D14" s="31">
        <v>-23</v>
      </c>
      <c r="E14" s="31">
        <v>-22</v>
      </c>
      <c r="F14" s="31">
        <v>-21</v>
      </c>
      <c r="G14" s="31">
        <v>-17</v>
      </c>
      <c r="H14" s="31">
        <v>-26</v>
      </c>
      <c r="I14" s="31">
        <v>-26</v>
      </c>
      <c r="J14" s="32">
        <v>-26</v>
      </c>
    </row>
    <row r="15" spans="1:10" ht="16.8" thickBot="1" x14ac:dyDescent="0.35">
      <c r="A15" s="62"/>
      <c r="B15" s="101"/>
      <c r="C15" s="34">
        <v>-28.5</v>
      </c>
      <c r="D15" s="34">
        <v>-30</v>
      </c>
      <c r="E15" s="34">
        <v>-33</v>
      </c>
      <c r="F15" s="34">
        <v>-37</v>
      </c>
      <c r="G15" s="34">
        <v>-42</v>
      </c>
      <c r="H15" s="34">
        <v>-65</v>
      </c>
      <c r="I15" s="34">
        <v>-88</v>
      </c>
      <c r="J15" s="35">
        <v>-126</v>
      </c>
    </row>
    <row r="16" spans="1:10" x14ac:dyDescent="0.3">
      <c r="A16" s="61">
        <v>50</v>
      </c>
      <c r="B16" s="100">
        <v>80</v>
      </c>
      <c r="C16" s="136"/>
      <c r="D16" s="136"/>
      <c r="E16" s="31">
        <v>-27</v>
      </c>
      <c r="F16" s="31">
        <v>-26</v>
      </c>
      <c r="G16" s="31">
        <v>-21</v>
      </c>
      <c r="H16" s="31">
        <v>-32</v>
      </c>
      <c r="I16" s="31">
        <v>-32</v>
      </c>
      <c r="J16" s="144"/>
    </row>
    <row r="17" spans="1:10" ht="16.8" thickBot="1" x14ac:dyDescent="0.35">
      <c r="A17" s="62"/>
      <c r="B17" s="101"/>
      <c r="C17" s="137"/>
      <c r="D17" s="137"/>
      <c r="E17" s="34">
        <v>-40</v>
      </c>
      <c r="F17" s="34">
        <v>-45</v>
      </c>
      <c r="G17" s="34">
        <v>-51</v>
      </c>
      <c r="H17" s="34">
        <v>-78</v>
      </c>
      <c r="I17" s="34">
        <v>-106</v>
      </c>
      <c r="J17" s="145"/>
    </row>
    <row r="18" spans="1:10" x14ac:dyDescent="0.3">
      <c r="A18" s="61">
        <v>80</v>
      </c>
      <c r="B18" s="100">
        <v>120</v>
      </c>
      <c r="C18" s="136"/>
      <c r="D18" s="136"/>
      <c r="E18" s="31">
        <v>-32</v>
      </c>
      <c r="F18" s="31">
        <v>-30</v>
      </c>
      <c r="G18" s="31">
        <v>-24</v>
      </c>
      <c r="H18" s="31">
        <v>-37</v>
      </c>
      <c r="I18" s="31">
        <v>-37</v>
      </c>
      <c r="J18" s="144"/>
    </row>
    <row r="19" spans="1:10" ht="16.8" thickBot="1" x14ac:dyDescent="0.35">
      <c r="A19" s="62"/>
      <c r="B19" s="101"/>
      <c r="C19" s="137"/>
      <c r="D19" s="137"/>
      <c r="E19" s="34">
        <v>-47</v>
      </c>
      <c r="F19" s="34">
        <v>-52</v>
      </c>
      <c r="G19" s="34">
        <v>-59</v>
      </c>
      <c r="H19" s="34">
        <v>-91</v>
      </c>
      <c r="I19" s="34">
        <v>-124</v>
      </c>
      <c r="J19" s="145"/>
    </row>
    <row r="20" spans="1:10" x14ac:dyDescent="0.3">
      <c r="A20" s="61">
        <v>120</v>
      </c>
      <c r="B20" s="100">
        <v>180</v>
      </c>
      <c r="C20" s="136"/>
      <c r="D20" s="136"/>
      <c r="E20" s="31">
        <v>-37</v>
      </c>
      <c r="F20" s="31">
        <v>-36</v>
      </c>
      <c r="G20" s="31">
        <v>-28</v>
      </c>
      <c r="H20" s="31">
        <v>-43</v>
      </c>
      <c r="I20" s="31">
        <v>-43</v>
      </c>
      <c r="J20" s="144"/>
    </row>
    <row r="21" spans="1:10" ht="16.8" thickBot="1" x14ac:dyDescent="0.35">
      <c r="A21" s="62"/>
      <c r="B21" s="101"/>
      <c r="C21" s="137"/>
      <c r="D21" s="137"/>
      <c r="E21" s="34">
        <v>-55</v>
      </c>
      <c r="F21" s="34">
        <v>-61</v>
      </c>
      <c r="G21" s="34">
        <v>-68</v>
      </c>
      <c r="H21" s="34">
        <v>-106</v>
      </c>
      <c r="I21" s="34">
        <v>-143</v>
      </c>
      <c r="J21" s="145"/>
    </row>
    <row r="22" spans="1:10" x14ac:dyDescent="0.3">
      <c r="A22" s="61">
        <v>180</v>
      </c>
      <c r="B22" s="100">
        <v>250</v>
      </c>
      <c r="C22" s="136"/>
      <c r="D22" s="136"/>
      <c r="E22" s="31">
        <v>-44</v>
      </c>
      <c r="F22" s="31">
        <v>-41</v>
      </c>
      <c r="G22" s="31">
        <v>-33</v>
      </c>
      <c r="H22" s="31">
        <v>-50</v>
      </c>
      <c r="I22" s="31">
        <v>-50</v>
      </c>
      <c r="J22" s="144"/>
    </row>
    <row r="23" spans="1:10" ht="16.8" thickBot="1" x14ac:dyDescent="0.35">
      <c r="A23" s="62"/>
      <c r="B23" s="101"/>
      <c r="C23" s="137"/>
      <c r="D23" s="137"/>
      <c r="E23" s="34">
        <v>-64</v>
      </c>
      <c r="F23" s="34">
        <v>-70</v>
      </c>
      <c r="G23" s="34">
        <v>-79</v>
      </c>
      <c r="H23" s="34">
        <v>-122</v>
      </c>
      <c r="I23" s="34">
        <v>-165</v>
      </c>
      <c r="J23" s="145"/>
    </row>
    <row r="24" spans="1:10" x14ac:dyDescent="0.3">
      <c r="A24" s="61">
        <v>250</v>
      </c>
      <c r="B24" s="100">
        <v>315</v>
      </c>
      <c r="C24" s="136"/>
      <c r="D24" s="136"/>
      <c r="E24" s="31">
        <v>-49</v>
      </c>
      <c r="F24" s="31">
        <v>-47</v>
      </c>
      <c r="G24" s="31">
        <v>-36</v>
      </c>
      <c r="H24" s="31">
        <v>-56</v>
      </c>
      <c r="I24" s="31">
        <v>-56</v>
      </c>
      <c r="J24" s="144"/>
    </row>
    <row r="25" spans="1:10" ht="16.8" thickBot="1" x14ac:dyDescent="0.35">
      <c r="A25" s="62"/>
      <c r="B25" s="101"/>
      <c r="C25" s="137"/>
      <c r="D25" s="137"/>
      <c r="E25" s="34">
        <v>-72</v>
      </c>
      <c r="F25" s="34">
        <v>-79</v>
      </c>
      <c r="G25" s="34">
        <v>-88</v>
      </c>
      <c r="H25" s="34">
        <v>-137</v>
      </c>
      <c r="I25" s="34">
        <v>-186</v>
      </c>
      <c r="J25" s="145"/>
    </row>
    <row r="26" spans="1:10" x14ac:dyDescent="0.3">
      <c r="A26" s="61">
        <v>315</v>
      </c>
      <c r="B26" s="100">
        <v>400</v>
      </c>
      <c r="C26" s="136"/>
      <c r="D26" s="136"/>
      <c r="E26" s="31">
        <v>-55</v>
      </c>
      <c r="F26" s="31">
        <v>-51</v>
      </c>
      <c r="G26" s="31">
        <v>-41</v>
      </c>
      <c r="H26" s="31">
        <v>-62</v>
      </c>
      <c r="I26" s="31">
        <v>-62</v>
      </c>
      <c r="J26" s="144"/>
    </row>
    <row r="27" spans="1:10" ht="16.8" thickBot="1" x14ac:dyDescent="0.35">
      <c r="A27" s="62"/>
      <c r="B27" s="101"/>
      <c r="C27" s="137"/>
      <c r="D27" s="137"/>
      <c r="E27" s="34">
        <v>-80</v>
      </c>
      <c r="F27" s="34">
        <v>-87</v>
      </c>
      <c r="G27" s="34">
        <v>-98</v>
      </c>
      <c r="H27" s="34">
        <v>-151</v>
      </c>
      <c r="I27" s="34">
        <v>-202</v>
      </c>
      <c r="J27" s="145"/>
    </row>
    <row r="28" spans="1:10" x14ac:dyDescent="0.3">
      <c r="A28" s="61">
        <v>400</v>
      </c>
      <c r="B28" s="100">
        <v>500</v>
      </c>
      <c r="C28" s="136"/>
      <c r="D28" s="136"/>
      <c r="E28" s="31">
        <v>-61</v>
      </c>
      <c r="F28" s="31">
        <v>-55</v>
      </c>
      <c r="G28" s="31">
        <v>-45</v>
      </c>
      <c r="H28" s="31">
        <v>-68</v>
      </c>
      <c r="I28" s="31">
        <v>-68</v>
      </c>
      <c r="J28" s="144"/>
    </row>
    <row r="29" spans="1:10" ht="16.8" thickBot="1" x14ac:dyDescent="0.35">
      <c r="A29" s="62"/>
      <c r="B29" s="101"/>
      <c r="C29" s="137"/>
      <c r="D29" s="137"/>
      <c r="E29" s="34">
        <v>-88</v>
      </c>
      <c r="F29" s="34">
        <v>-95</v>
      </c>
      <c r="G29" s="34">
        <v>-108</v>
      </c>
      <c r="H29" s="34">
        <v>-165</v>
      </c>
      <c r="I29" s="34">
        <v>-223</v>
      </c>
      <c r="J29" s="145"/>
    </row>
    <row r="30" spans="1:10" x14ac:dyDescent="0.3">
      <c r="A30" s="61">
        <v>500</v>
      </c>
      <c r="B30" s="100">
        <v>630</v>
      </c>
      <c r="C30" s="136"/>
      <c r="D30" s="136"/>
      <c r="E30" s="136"/>
      <c r="F30" s="31">
        <v>-78</v>
      </c>
      <c r="G30" s="31">
        <v>-78</v>
      </c>
      <c r="H30" s="31">
        <v>-78</v>
      </c>
      <c r="I30" s="31">
        <v>-78</v>
      </c>
      <c r="J30" s="144"/>
    </row>
    <row r="31" spans="1:10" ht="16.8" thickBot="1" x14ac:dyDescent="0.35">
      <c r="A31" s="62"/>
      <c r="B31" s="101"/>
      <c r="C31" s="137"/>
      <c r="D31" s="137"/>
      <c r="E31" s="137"/>
      <c r="F31" s="34">
        <v>-122</v>
      </c>
      <c r="G31" s="34">
        <v>-148</v>
      </c>
      <c r="H31" s="34">
        <v>-188</v>
      </c>
      <c r="I31" s="34">
        <v>-253</v>
      </c>
      <c r="J31" s="145"/>
    </row>
    <row r="32" spans="1:10" x14ac:dyDescent="0.3">
      <c r="A32" s="61">
        <v>630</v>
      </c>
      <c r="B32" s="100">
        <v>800</v>
      </c>
      <c r="C32" s="136"/>
      <c r="D32" s="136"/>
      <c r="E32" s="136"/>
      <c r="F32" s="31">
        <v>-88</v>
      </c>
      <c r="G32" s="31">
        <v>-88</v>
      </c>
      <c r="H32" s="31">
        <v>-88</v>
      </c>
      <c r="I32" s="31">
        <v>-88</v>
      </c>
      <c r="J32" s="144"/>
    </row>
    <row r="33" spans="1:10" ht="16.8" thickBot="1" x14ac:dyDescent="0.35">
      <c r="A33" s="62"/>
      <c r="B33" s="101"/>
      <c r="C33" s="137"/>
      <c r="D33" s="137"/>
      <c r="E33" s="137"/>
      <c r="F33" s="34">
        <v>-138</v>
      </c>
      <c r="G33" s="34">
        <v>-168</v>
      </c>
      <c r="H33" s="34">
        <v>-213</v>
      </c>
      <c r="I33" s="34">
        <v>-288</v>
      </c>
      <c r="J33" s="145"/>
    </row>
    <row r="34" spans="1:10" x14ac:dyDescent="0.3">
      <c r="A34" s="61">
        <v>800</v>
      </c>
      <c r="B34" s="98">
        <v>1000</v>
      </c>
      <c r="C34" s="136"/>
      <c r="D34" s="136"/>
      <c r="E34" s="136"/>
      <c r="F34" s="31">
        <v>-100</v>
      </c>
      <c r="G34" s="31">
        <v>-100</v>
      </c>
      <c r="H34" s="31">
        <v>-100</v>
      </c>
      <c r="I34" s="31">
        <v>-100</v>
      </c>
      <c r="J34" s="144"/>
    </row>
    <row r="35" spans="1:10" ht="16.8" thickBot="1" x14ac:dyDescent="0.35">
      <c r="A35" s="62"/>
      <c r="B35" s="99"/>
      <c r="C35" s="137"/>
      <c r="D35" s="137"/>
      <c r="E35" s="137"/>
      <c r="F35" s="34">
        <v>-156</v>
      </c>
      <c r="G35" s="34">
        <v>-190</v>
      </c>
      <c r="H35" s="34">
        <v>-240</v>
      </c>
      <c r="I35" s="34">
        <v>-330</v>
      </c>
      <c r="J35" s="145"/>
    </row>
    <row r="36" spans="1:10" x14ac:dyDescent="0.3">
      <c r="A36" s="96">
        <v>1000</v>
      </c>
      <c r="B36" s="98">
        <v>1250</v>
      </c>
      <c r="C36" s="136"/>
      <c r="D36" s="136"/>
      <c r="E36" s="136"/>
      <c r="F36" s="31">
        <v>-120</v>
      </c>
      <c r="G36" s="31">
        <v>-120</v>
      </c>
      <c r="H36" s="31">
        <v>-120</v>
      </c>
      <c r="I36" s="31">
        <v>-120</v>
      </c>
      <c r="J36" s="144"/>
    </row>
    <row r="37" spans="1:10" ht="16.8" thickBot="1" x14ac:dyDescent="0.35">
      <c r="A37" s="97"/>
      <c r="B37" s="99"/>
      <c r="C37" s="137"/>
      <c r="D37" s="137"/>
      <c r="E37" s="137"/>
      <c r="F37" s="34">
        <v>-186</v>
      </c>
      <c r="G37" s="34">
        <v>-225</v>
      </c>
      <c r="H37" s="34">
        <v>-285</v>
      </c>
      <c r="I37" s="34">
        <v>-380</v>
      </c>
      <c r="J37" s="145"/>
    </row>
    <row r="38" spans="1:10" x14ac:dyDescent="0.3">
      <c r="A38" s="96">
        <v>1250</v>
      </c>
      <c r="B38" s="98">
        <v>1600</v>
      </c>
      <c r="C38" s="136"/>
      <c r="D38" s="136"/>
      <c r="E38" s="136"/>
      <c r="F38" s="31">
        <v>-140</v>
      </c>
      <c r="G38" s="31">
        <v>-140</v>
      </c>
      <c r="H38" s="31">
        <v>-140</v>
      </c>
      <c r="I38" s="31">
        <v>-140</v>
      </c>
      <c r="J38" s="144"/>
    </row>
    <row r="39" spans="1:10" ht="16.8" thickBot="1" x14ac:dyDescent="0.35">
      <c r="A39" s="97"/>
      <c r="B39" s="99"/>
      <c r="C39" s="137"/>
      <c r="D39" s="137"/>
      <c r="E39" s="137"/>
      <c r="F39" s="34">
        <v>-218</v>
      </c>
      <c r="G39" s="34">
        <v>-265</v>
      </c>
      <c r="H39" s="34">
        <v>-335</v>
      </c>
      <c r="I39" s="34">
        <v>-450</v>
      </c>
      <c r="J39" s="145"/>
    </row>
    <row r="40" spans="1:10" x14ac:dyDescent="0.3">
      <c r="A40" s="96">
        <v>1600</v>
      </c>
      <c r="B40" s="98">
        <v>2000</v>
      </c>
      <c r="C40" s="136"/>
      <c r="D40" s="136"/>
      <c r="E40" s="136"/>
      <c r="F40" s="31">
        <v>-170</v>
      </c>
      <c r="G40" s="31">
        <v>-170</v>
      </c>
      <c r="H40" s="31">
        <v>-170</v>
      </c>
      <c r="I40" s="31">
        <v>-170</v>
      </c>
      <c r="J40" s="144"/>
    </row>
    <row r="41" spans="1:10" ht="16.8" thickBot="1" x14ac:dyDescent="0.35">
      <c r="A41" s="97"/>
      <c r="B41" s="99"/>
      <c r="C41" s="137"/>
      <c r="D41" s="137"/>
      <c r="E41" s="137"/>
      <c r="F41" s="34">
        <v>-262</v>
      </c>
      <c r="G41" s="34">
        <v>-320</v>
      </c>
      <c r="H41" s="34">
        <v>-400</v>
      </c>
      <c r="I41" s="34">
        <v>-540</v>
      </c>
      <c r="J41" s="145"/>
    </row>
    <row r="42" spans="1:10" x14ac:dyDescent="0.3">
      <c r="A42" s="96">
        <v>2000</v>
      </c>
      <c r="B42" s="98">
        <v>2500</v>
      </c>
      <c r="C42" s="136"/>
      <c r="D42" s="136"/>
      <c r="E42" s="136"/>
      <c r="F42" s="31">
        <v>-195</v>
      </c>
      <c r="G42" s="31">
        <v>-195</v>
      </c>
      <c r="H42" s="31">
        <v>-195</v>
      </c>
      <c r="I42" s="31">
        <v>-195</v>
      </c>
      <c r="J42" s="144"/>
    </row>
    <row r="43" spans="1:10" ht="16.8" thickBot="1" x14ac:dyDescent="0.35">
      <c r="A43" s="97"/>
      <c r="B43" s="99"/>
      <c r="C43" s="137"/>
      <c r="D43" s="137"/>
      <c r="E43" s="137"/>
      <c r="F43" s="34">
        <v>-305</v>
      </c>
      <c r="G43" s="34">
        <v>-370</v>
      </c>
      <c r="H43" s="34">
        <v>-475</v>
      </c>
      <c r="I43" s="34">
        <v>-635</v>
      </c>
      <c r="J43" s="145"/>
    </row>
    <row r="44" spans="1:10" x14ac:dyDescent="0.3">
      <c r="A44" s="96">
        <v>2500</v>
      </c>
      <c r="B44" s="98">
        <v>3150</v>
      </c>
      <c r="C44" s="136"/>
      <c r="D44" s="136"/>
      <c r="E44" s="136"/>
      <c r="F44" s="31">
        <v>-240</v>
      </c>
      <c r="G44" s="31">
        <v>-240</v>
      </c>
      <c r="H44" s="31">
        <v>-240</v>
      </c>
      <c r="I44" s="31">
        <v>-240</v>
      </c>
      <c r="J44" s="144"/>
    </row>
    <row r="45" spans="1:10" ht="16.8" thickBot="1" x14ac:dyDescent="0.35">
      <c r="A45" s="155"/>
      <c r="B45" s="156"/>
      <c r="C45" s="157"/>
      <c r="D45" s="157"/>
      <c r="E45" s="157"/>
      <c r="F45" s="45">
        <v>-375</v>
      </c>
      <c r="G45" s="45">
        <v>-450</v>
      </c>
      <c r="H45" s="45">
        <v>-570</v>
      </c>
      <c r="I45" s="45">
        <v>-780</v>
      </c>
      <c r="J45" s="154"/>
    </row>
    <row r="46" spans="1:10" ht="16.8" thickTop="1" x14ac:dyDescent="0.3"/>
  </sheetData>
  <mergeCells count="98">
    <mergeCell ref="A6:A7"/>
    <mergeCell ref="B6:B7"/>
    <mergeCell ref="A1:B1"/>
    <mergeCell ref="A2:B2"/>
    <mergeCell ref="C1:J2"/>
    <mergeCell ref="A4:A5"/>
    <mergeCell ref="B4:B5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C16:C17"/>
    <mergeCell ref="J16:J17"/>
    <mergeCell ref="A18:A19"/>
    <mergeCell ref="B18:B19"/>
    <mergeCell ref="C18:C19"/>
    <mergeCell ref="D18:D19"/>
    <mergeCell ref="J18:J19"/>
    <mergeCell ref="D16:D17"/>
    <mergeCell ref="A22:A23"/>
    <mergeCell ref="B22:B23"/>
    <mergeCell ref="C22:C23"/>
    <mergeCell ref="D22:D23"/>
    <mergeCell ref="J22:J23"/>
    <mergeCell ref="A20:A21"/>
    <mergeCell ref="B20:B21"/>
    <mergeCell ref="C20:C21"/>
    <mergeCell ref="D20:D21"/>
    <mergeCell ref="J20:J21"/>
    <mergeCell ref="A26:A27"/>
    <mergeCell ref="B26:B27"/>
    <mergeCell ref="C26:C27"/>
    <mergeCell ref="D26:D27"/>
    <mergeCell ref="J26:J27"/>
    <mergeCell ref="A24:A25"/>
    <mergeCell ref="B24:B25"/>
    <mergeCell ref="C24:C25"/>
    <mergeCell ref="D24:D25"/>
    <mergeCell ref="J24:J25"/>
    <mergeCell ref="A28:A29"/>
    <mergeCell ref="B28:B29"/>
    <mergeCell ref="C28:C29"/>
    <mergeCell ref="D28:D29"/>
    <mergeCell ref="J28:J29"/>
    <mergeCell ref="J32:J33"/>
    <mergeCell ref="A30:A31"/>
    <mergeCell ref="B30:B31"/>
    <mergeCell ref="C30:C31"/>
    <mergeCell ref="D30:D31"/>
    <mergeCell ref="E30:E31"/>
    <mergeCell ref="J30:J31"/>
    <mergeCell ref="A32:A33"/>
    <mergeCell ref="B32:B33"/>
    <mergeCell ref="C32:C33"/>
    <mergeCell ref="D32:D33"/>
    <mergeCell ref="E32:E33"/>
    <mergeCell ref="J36:J37"/>
    <mergeCell ref="A34:A35"/>
    <mergeCell ref="B34:B35"/>
    <mergeCell ref="C34:C35"/>
    <mergeCell ref="D34:D35"/>
    <mergeCell ref="E34:E35"/>
    <mergeCell ref="J34:J35"/>
    <mergeCell ref="A36:A37"/>
    <mergeCell ref="B36:B37"/>
    <mergeCell ref="C36:C37"/>
    <mergeCell ref="D36:D37"/>
    <mergeCell ref="E36:E37"/>
    <mergeCell ref="J40:J41"/>
    <mergeCell ref="A38:A39"/>
    <mergeCell ref="B38:B39"/>
    <mergeCell ref="C38:C39"/>
    <mergeCell ref="D38:D39"/>
    <mergeCell ref="E38:E39"/>
    <mergeCell ref="J38:J39"/>
    <mergeCell ref="A40:A41"/>
    <mergeCell ref="B40:B41"/>
    <mergeCell ref="C40:C41"/>
    <mergeCell ref="D40:D41"/>
    <mergeCell ref="E40:E41"/>
    <mergeCell ref="J44:J45"/>
    <mergeCell ref="A42:A43"/>
    <mergeCell ref="B42:B43"/>
    <mergeCell ref="C42:C43"/>
    <mergeCell ref="D42:D43"/>
    <mergeCell ref="E42:E43"/>
    <mergeCell ref="J42:J43"/>
    <mergeCell ref="A44:A45"/>
    <mergeCell ref="B44:B45"/>
    <mergeCell ref="C44:C45"/>
    <mergeCell ref="D44:D45"/>
    <mergeCell ref="E44:E4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CF3B-D0B8-4984-9D21-782C46077DF7}">
  <dimension ref="A1:J80"/>
  <sheetViews>
    <sheetView topLeftCell="A58" workbookViewId="0">
      <selection activeCell="C4" sqref="C4"/>
    </sheetView>
  </sheetViews>
  <sheetFormatPr defaultRowHeight="16.2" x14ac:dyDescent="0.3"/>
  <sheetData>
    <row r="1" spans="1:10" ht="16.8" thickTop="1" x14ac:dyDescent="0.3">
      <c r="A1" s="102" t="s">
        <v>50</v>
      </c>
      <c r="B1" s="103"/>
      <c r="C1" s="92" t="s">
        <v>49</v>
      </c>
      <c r="D1" s="78"/>
      <c r="E1" s="78"/>
      <c r="F1" s="78"/>
      <c r="G1" s="78"/>
      <c r="H1" s="78"/>
      <c r="I1" s="78"/>
      <c r="J1" s="79"/>
    </row>
    <row r="2" spans="1:10" ht="16.8" thickBot="1" x14ac:dyDescent="0.35">
      <c r="A2" s="85" t="s">
        <v>1</v>
      </c>
      <c r="B2" s="104"/>
      <c r="C2" s="94"/>
      <c r="D2" s="81"/>
      <c r="E2" s="81"/>
      <c r="F2" s="81"/>
      <c r="G2" s="81"/>
      <c r="H2" s="81"/>
      <c r="I2" s="81"/>
      <c r="J2" s="82"/>
    </row>
    <row r="3" spans="1:10" ht="16.8" thickBot="1" x14ac:dyDescent="0.35">
      <c r="A3" s="39" t="s">
        <v>3</v>
      </c>
      <c r="B3" s="22" t="s">
        <v>4</v>
      </c>
      <c r="C3" s="20">
        <v>3</v>
      </c>
      <c r="D3" s="20">
        <v>4</v>
      </c>
      <c r="E3" s="20">
        <v>5</v>
      </c>
      <c r="F3" s="20">
        <v>6</v>
      </c>
      <c r="G3" s="20">
        <v>7</v>
      </c>
      <c r="H3" s="20">
        <v>8</v>
      </c>
      <c r="I3" s="20">
        <v>9</v>
      </c>
      <c r="J3" s="2">
        <v>10</v>
      </c>
    </row>
    <row r="4" spans="1:10" x14ac:dyDescent="0.3">
      <c r="A4" s="168" t="s">
        <v>5</v>
      </c>
      <c r="B4" s="100">
        <v>3</v>
      </c>
      <c r="C4" s="31">
        <v>-10</v>
      </c>
      <c r="D4" s="31">
        <v>-10</v>
      </c>
      <c r="E4" s="31">
        <v>-10</v>
      </c>
      <c r="F4" s="31">
        <v>-10</v>
      </c>
      <c r="G4" s="31">
        <v>-10</v>
      </c>
      <c r="H4" s="31">
        <v>-10</v>
      </c>
      <c r="I4" s="31">
        <v>-10</v>
      </c>
      <c r="J4" s="32">
        <v>-10</v>
      </c>
    </row>
    <row r="5" spans="1:10" ht="16.8" thickBot="1" x14ac:dyDescent="0.35">
      <c r="A5" s="169"/>
      <c r="B5" s="101"/>
      <c r="C5" s="34">
        <v>-12</v>
      </c>
      <c r="D5" s="34">
        <v>-13</v>
      </c>
      <c r="E5" s="34">
        <v>-14</v>
      </c>
      <c r="F5" s="34">
        <v>-16</v>
      </c>
      <c r="G5" s="34">
        <v>-20</v>
      </c>
      <c r="H5" s="34">
        <v>-24</v>
      </c>
      <c r="I5" s="34">
        <v>-35</v>
      </c>
      <c r="J5" s="35">
        <v>-50</v>
      </c>
    </row>
    <row r="6" spans="1:10" x14ac:dyDescent="0.3">
      <c r="A6" s="70">
        <v>3</v>
      </c>
      <c r="B6" s="100">
        <v>6</v>
      </c>
      <c r="C6" s="31">
        <v>-14</v>
      </c>
      <c r="D6" s="31">
        <v>-13.5</v>
      </c>
      <c r="E6" s="31">
        <v>-14</v>
      </c>
      <c r="F6" s="31">
        <v>-12</v>
      </c>
      <c r="G6" s="31">
        <v>-11</v>
      </c>
      <c r="H6" s="31">
        <v>-15</v>
      </c>
      <c r="I6" s="31">
        <v>-15</v>
      </c>
      <c r="J6" s="32">
        <v>-15</v>
      </c>
    </row>
    <row r="7" spans="1:10" ht="16.8" thickBot="1" x14ac:dyDescent="0.35">
      <c r="A7" s="71"/>
      <c r="B7" s="101"/>
      <c r="C7" s="34">
        <v>-16.5</v>
      </c>
      <c r="D7" s="34">
        <v>-17.5</v>
      </c>
      <c r="E7" s="34">
        <v>-19</v>
      </c>
      <c r="F7" s="34">
        <v>-20</v>
      </c>
      <c r="G7" s="34">
        <v>-23</v>
      </c>
      <c r="H7" s="34">
        <v>-33</v>
      </c>
      <c r="I7" s="34">
        <v>-45</v>
      </c>
      <c r="J7" s="35">
        <v>-63</v>
      </c>
    </row>
    <row r="8" spans="1:10" x14ac:dyDescent="0.3">
      <c r="A8" s="70">
        <v>6</v>
      </c>
      <c r="B8" s="100">
        <v>10</v>
      </c>
      <c r="C8" s="31">
        <v>-18</v>
      </c>
      <c r="D8" s="31">
        <v>-17.5</v>
      </c>
      <c r="E8" s="31">
        <v>-17</v>
      </c>
      <c r="F8" s="31">
        <v>-16</v>
      </c>
      <c r="G8" s="31">
        <v>-13</v>
      </c>
      <c r="H8" s="31">
        <v>-19</v>
      </c>
      <c r="I8" s="31">
        <v>-19</v>
      </c>
      <c r="J8" s="32">
        <v>-19</v>
      </c>
    </row>
    <row r="9" spans="1:10" ht="16.8" thickBot="1" x14ac:dyDescent="0.35">
      <c r="A9" s="71"/>
      <c r="B9" s="101"/>
      <c r="C9" s="34">
        <v>-20.5</v>
      </c>
      <c r="D9" s="34">
        <v>-21.5</v>
      </c>
      <c r="E9" s="34">
        <v>-23</v>
      </c>
      <c r="F9" s="34">
        <v>-25</v>
      </c>
      <c r="G9" s="34">
        <v>-28</v>
      </c>
      <c r="H9" s="34">
        <v>-41</v>
      </c>
      <c r="I9" s="34">
        <v>-55</v>
      </c>
      <c r="J9" s="35">
        <v>-77</v>
      </c>
    </row>
    <row r="10" spans="1:10" x14ac:dyDescent="0.3">
      <c r="A10" s="70">
        <v>10</v>
      </c>
      <c r="B10" s="100">
        <v>18</v>
      </c>
      <c r="C10" s="31">
        <v>-22</v>
      </c>
      <c r="D10" s="31">
        <v>-21</v>
      </c>
      <c r="E10" s="31">
        <v>-20</v>
      </c>
      <c r="F10" s="31">
        <v>-20</v>
      </c>
      <c r="G10" s="31">
        <v>-16</v>
      </c>
      <c r="H10" s="31">
        <v>-23</v>
      </c>
      <c r="I10" s="31">
        <v>-23</v>
      </c>
      <c r="J10" s="32">
        <v>-23</v>
      </c>
    </row>
    <row r="11" spans="1:10" ht="16.8" thickBot="1" x14ac:dyDescent="0.35">
      <c r="A11" s="71"/>
      <c r="B11" s="101"/>
      <c r="C11" s="34">
        <v>-25</v>
      </c>
      <c r="D11" s="34">
        <v>-26</v>
      </c>
      <c r="E11" s="34">
        <v>-28</v>
      </c>
      <c r="F11" s="34">
        <v>-31</v>
      </c>
      <c r="G11" s="34">
        <v>-34</v>
      </c>
      <c r="H11" s="34">
        <v>-50</v>
      </c>
      <c r="I11" s="34">
        <v>-66</v>
      </c>
      <c r="J11" s="35">
        <v>-93</v>
      </c>
    </row>
    <row r="12" spans="1:10" x14ac:dyDescent="0.3">
      <c r="A12" s="70">
        <v>18</v>
      </c>
      <c r="B12" s="100">
        <v>30</v>
      </c>
      <c r="C12" s="31">
        <v>-26.5</v>
      </c>
      <c r="D12" s="31">
        <v>-26</v>
      </c>
      <c r="E12" s="31">
        <v>-25</v>
      </c>
      <c r="F12" s="31">
        <v>-24</v>
      </c>
      <c r="G12" s="31">
        <v>-20</v>
      </c>
      <c r="H12" s="31">
        <v>-28</v>
      </c>
      <c r="I12" s="31">
        <v>-28</v>
      </c>
      <c r="J12" s="32">
        <v>-28</v>
      </c>
    </row>
    <row r="13" spans="1:10" ht="16.8" thickBot="1" x14ac:dyDescent="0.35">
      <c r="A13" s="71"/>
      <c r="B13" s="101"/>
      <c r="C13" s="34">
        <v>-30.5</v>
      </c>
      <c r="D13" s="34">
        <v>-32</v>
      </c>
      <c r="E13" s="34">
        <v>-34</v>
      </c>
      <c r="F13" s="34">
        <v>-37</v>
      </c>
      <c r="G13" s="34">
        <v>-41</v>
      </c>
      <c r="H13" s="34">
        <v>-61</v>
      </c>
      <c r="I13" s="34">
        <v>-80</v>
      </c>
      <c r="J13" s="35">
        <v>-112</v>
      </c>
    </row>
    <row r="14" spans="1:10" x14ac:dyDescent="0.3">
      <c r="A14" s="70">
        <v>30</v>
      </c>
      <c r="B14" s="100">
        <v>50</v>
      </c>
      <c r="C14" s="31">
        <v>-32.5</v>
      </c>
      <c r="D14" s="31">
        <v>-31</v>
      </c>
      <c r="E14" s="31">
        <v>-30</v>
      </c>
      <c r="F14" s="31">
        <v>-29</v>
      </c>
      <c r="G14" s="31">
        <v>-25</v>
      </c>
      <c r="H14" s="31">
        <v>-34</v>
      </c>
      <c r="I14" s="31">
        <v>-34</v>
      </c>
      <c r="J14" s="32">
        <v>-34</v>
      </c>
    </row>
    <row r="15" spans="1:10" ht="16.8" thickBot="1" x14ac:dyDescent="0.35">
      <c r="A15" s="71"/>
      <c r="B15" s="101"/>
      <c r="C15" s="34">
        <v>-36.5</v>
      </c>
      <c r="D15" s="34">
        <v>-38</v>
      </c>
      <c r="E15" s="34">
        <v>-41</v>
      </c>
      <c r="F15" s="34">
        <v>-45</v>
      </c>
      <c r="G15" s="34">
        <v>-50</v>
      </c>
      <c r="H15" s="34">
        <v>-73</v>
      </c>
      <c r="I15" s="34">
        <v>-96</v>
      </c>
      <c r="J15" s="35">
        <v>-134</v>
      </c>
    </row>
    <row r="16" spans="1:10" x14ac:dyDescent="0.3">
      <c r="A16" s="70">
        <v>50</v>
      </c>
      <c r="B16" s="100">
        <v>65</v>
      </c>
      <c r="C16" s="136"/>
      <c r="D16" s="136"/>
      <c r="E16" s="31">
        <v>-36</v>
      </c>
      <c r="F16" s="31">
        <v>-35</v>
      </c>
      <c r="G16" s="31">
        <v>-30</v>
      </c>
      <c r="H16" s="31">
        <v>-41</v>
      </c>
      <c r="I16" s="136"/>
      <c r="J16" s="144"/>
    </row>
    <row r="17" spans="1:10" ht="16.8" thickBot="1" x14ac:dyDescent="0.35">
      <c r="A17" s="71"/>
      <c r="B17" s="101"/>
      <c r="C17" s="137"/>
      <c r="D17" s="137"/>
      <c r="E17" s="34">
        <v>-49</v>
      </c>
      <c r="F17" s="34">
        <v>-54</v>
      </c>
      <c r="G17" s="34">
        <v>-60</v>
      </c>
      <c r="H17" s="34">
        <v>-87</v>
      </c>
      <c r="I17" s="137"/>
      <c r="J17" s="145"/>
    </row>
    <row r="18" spans="1:10" x14ac:dyDescent="0.3">
      <c r="A18" s="70">
        <v>65</v>
      </c>
      <c r="B18" s="100">
        <v>80</v>
      </c>
      <c r="C18" s="136"/>
      <c r="D18" s="136"/>
      <c r="E18" s="31">
        <v>-38</v>
      </c>
      <c r="F18" s="31">
        <v>-37</v>
      </c>
      <c r="G18" s="31">
        <v>-32</v>
      </c>
      <c r="H18" s="31">
        <v>-43</v>
      </c>
      <c r="I18" s="136"/>
      <c r="J18" s="144"/>
    </row>
    <row r="19" spans="1:10" ht="16.8" thickBot="1" x14ac:dyDescent="0.35">
      <c r="A19" s="71"/>
      <c r="B19" s="101"/>
      <c r="C19" s="137"/>
      <c r="D19" s="137"/>
      <c r="E19" s="34">
        <v>-51</v>
      </c>
      <c r="F19" s="34">
        <v>-56</v>
      </c>
      <c r="G19" s="34">
        <v>-62</v>
      </c>
      <c r="H19" s="34">
        <v>-89</v>
      </c>
      <c r="I19" s="137"/>
      <c r="J19" s="145"/>
    </row>
    <row r="20" spans="1:10" x14ac:dyDescent="0.3">
      <c r="A20" s="70">
        <v>80</v>
      </c>
      <c r="B20" s="100">
        <v>100</v>
      </c>
      <c r="C20" s="136"/>
      <c r="D20" s="136"/>
      <c r="E20" s="31">
        <v>-46</v>
      </c>
      <c r="F20" s="31">
        <v>-44</v>
      </c>
      <c r="G20" s="31">
        <v>-38</v>
      </c>
      <c r="H20" s="31">
        <v>-51</v>
      </c>
      <c r="I20" s="136"/>
      <c r="J20" s="144"/>
    </row>
    <row r="21" spans="1:10" ht="16.8" thickBot="1" x14ac:dyDescent="0.35">
      <c r="A21" s="71"/>
      <c r="B21" s="101"/>
      <c r="C21" s="137"/>
      <c r="D21" s="137"/>
      <c r="E21" s="34">
        <v>-61</v>
      </c>
      <c r="F21" s="34">
        <v>-66</v>
      </c>
      <c r="G21" s="34">
        <v>-73</v>
      </c>
      <c r="H21" s="34">
        <v>-105</v>
      </c>
      <c r="I21" s="137"/>
      <c r="J21" s="145"/>
    </row>
    <row r="22" spans="1:10" x14ac:dyDescent="0.3">
      <c r="A22" s="70">
        <v>100</v>
      </c>
      <c r="B22" s="100">
        <v>120</v>
      </c>
      <c r="C22" s="136"/>
      <c r="D22" s="136"/>
      <c r="E22" s="31">
        <v>-49</v>
      </c>
      <c r="F22" s="31">
        <v>-47</v>
      </c>
      <c r="G22" s="31">
        <v>-41</v>
      </c>
      <c r="H22" s="31">
        <v>-54</v>
      </c>
      <c r="I22" s="136"/>
      <c r="J22" s="144"/>
    </row>
    <row r="23" spans="1:10" ht="16.8" thickBot="1" x14ac:dyDescent="0.35">
      <c r="A23" s="71"/>
      <c r="B23" s="101"/>
      <c r="C23" s="137"/>
      <c r="D23" s="137"/>
      <c r="E23" s="34">
        <v>-64</v>
      </c>
      <c r="F23" s="34">
        <v>-69</v>
      </c>
      <c r="G23" s="34">
        <v>-76</v>
      </c>
      <c r="H23" s="34">
        <v>-108</v>
      </c>
      <c r="I23" s="137"/>
      <c r="J23" s="145"/>
    </row>
    <row r="24" spans="1:10" x14ac:dyDescent="0.3">
      <c r="A24" s="70">
        <v>120</v>
      </c>
      <c r="B24" s="100">
        <v>140</v>
      </c>
      <c r="C24" s="136"/>
      <c r="D24" s="136"/>
      <c r="E24" s="31">
        <v>-57</v>
      </c>
      <c r="F24" s="31">
        <v>-56</v>
      </c>
      <c r="G24" s="31">
        <v>-48</v>
      </c>
      <c r="H24" s="31">
        <v>-63</v>
      </c>
      <c r="I24" s="136"/>
      <c r="J24" s="144"/>
    </row>
    <row r="25" spans="1:10" ht="16.8" thickBot="1" x14ac:dyDescent="0.35">
      <c r="A25" s="71"/>
      <c r="B25" s="101"/>
      <c r="C25" s="137"/>
      <c r="D25" s="137"/>
      <c r="E25" s="34">
        <v>-75</v>
      </c>
      <c r="F25" s="34">
        <v>-81</v>
      </c>
      <c r="G25" s="34">
        <v>-88</v>
      </c>
      <c r="H25" s="34">
        <v>-126</v>
      </c>
      <c r="I25" s="137"/>
      <c r="J25" s="145"/>
    </row>
    <row r="26" spans="1:10" x14ac:dyDescent="0.3">
      <c r="A26" s="70">
        <v>140</v>
      </c>
      <c r="B26" s="100">
        <v>160</v>
      </c>
      <c r="C26" s="136"/>
      <c r="D26" s="136"/>
      <c r="E26" s="31">
        <v>-59</v>
      </c>
      <c r="F26" s="31">
        <v>-58</v>
      </c>
      <c r="G26" s="31">
        <v>-50</v>
      </c>
      <c r="H26" s="31">
        <v>-65</v>
      </c>
      <c r="I26" s="136"/>
      <c r="J26" s="144"/>
    </row>
    <row r="27" spans="1:10" ht="16.8" thickBot="1" x14ac:dyDescent="0.35">
      <c r="A27" s="71"/>
      <c r="B27" s="101"/>
      <c r="C27" s="137"/>
      <c r="D27" s="137"/>
      <c r="E27" s="34">
        <v>-77</v>
      </c>
      <c r="F27" s="34">
        <v>-83</v>
      </c>
      <c r="G27" s="34">
        <v>-90</v>
      </c>
      <c r="H27" s="34">
        <v>-128</v>
      </c>
      <c r="I27" s="137"/>
      <c r="J27" s="145"/>
    </row>
    <row r="28" spans="1:10" x14ac:dyDescent="0.3">
      <c r="A28" s="70">
        <v>160</v>
      </c>
      <c r="B28" s="100">
        <v>180</v>
      </c>
      <c r="C28" s="136"/>
      <c r="D28" s="136"/>
      <c r="E28" s="31">
        <v>-62</v>
      </c>
      <c r="F28" s="31">
        <v>-61</v>
      </c>
      <c r="G28" s="31">
        <v>-53</v>
      </c>
      <c r="H28" s="31">
        <v>-68</v>
      </c>
      <c r="I28" s="136"/>
      <c r="J28" s="144"/>
    </row>
    <row r="29" spans="1:10" ht="16.8" thickBot="1" x14ac:dyDescent="0.35">
      <c r="A29" s="71"/>
      <c r="B29" s="101"/>
      <c r="C29" s="137"/>
      <c r="D29" s="137"/>
      <c r="E29" s="34">
        <v>-80</v>
      </c>
      <c r="F29" s="34">
        <v>-86</v>
      </c>
      <c r="G29" s="34">
        <v>-93</v>
      </c>
      <c r="H29" s="34">
        <v>-131</v>
      </c>
      <c r="I29" s="137"/>
      <c r="J29" s="145"/>
    </row>
    <row r="30" spans="1:10" x14ac:dyDescent="0.3">
      <c r="A30" s="70">
        <v>180</v>
      </c>
      <c r="B30" s="100">
        <v>200</v>
      </c>
      <c r="C30" s="136"/>
      <c r="D30" s="136"/>
      <c r="E30" s="31">
        <v>-71</v>
      </c>
      <c r="F30" s="31">
        <v>-68</v>
      </c>
      <c r="G30" s="31">
        <v>-60</v>
      </c>
      <c r="H30" s="31">
        <v>-77</v>
      </c>
      <c r="I30" s="136"/>
      <c r="J30" s="144"/>
    </row>
    <row r="31" spans="1:10" ht="16.8" thickBot="1" x14ac:dyDescent="0.35">
      <c r="A31" s="71"/>
      <c r="B31" s="101"/>
      <c r="C31" s="137"/>
      <c r="D31" s="137"/>
      <c r="E31" s="34">
        <v>-91</v>
      </c>
      <c r="F31" s="34">
        <v>-97</v>
      </c>
      <c r="G31" s="34">
        <v>-106</v>
      </c>
      <c r="H31" s="34">
        <v>-149</v>
      </c>
      <c r="I31" s="137"/>
      <c r="J31" s="145"/>
    </row>
    <row r="32" spans="1:10" x14ac:dyDescent="0.3">
      <c r="A32" s="70">
        <v>200</v>
      </c>
      <c r="B32" s="100">
        <v>225</v>
      </c>
      <c r="C32" s="136"/>
      <c r="D32" s="136"/>
      <c r="E32" s="31">
        <v>-74</v>
      </c>
      <c r="F32" s="31">
        <v>-71</v>
      </c>
      <c r="G32" s="31">
        <v>-63</v>
      </c>
      <c r="H32" s="31">
        <v>-80</v>
      </c>
      <c r="I32" s="136"/>
      <c r="J32" s="144"/>
    </row>
    <row r="33" spans="1:10" ht="16.8" thickBot="1" x14ac:dyDescent="0.35">
      <c r="A33" s="71"/>
      <c r="B33" s="101"/>
      <c r="C33" s="137"/>
      <c r="D33" s="137"/>
      <c r="E33" s="34">
        <v>-94</v>
      </c>
      <c r="F33" s="34">
        <v>-100</v>
      </c>
      <c r="G33" s="34">
        <v>-109</v>
      </c>
      <c r="H33" s="34">
        <v>-152</v>
      </c>
      <c r="I33" s="137"/>
      <c r="J33" s="145"/>
    </row>
    <row r="34" spans="1:10" x14ac:dyDescent="0.3">
      <c r="A34" s="70">
        <v>225</v>
      </c>
      <c r="B34" s="100">
        <v>250</v>
      </c>
      <c r="C34" s="136"/>
      <c r="D34" s="136"/>
      <c r="E34" s="31">
        <v>-78</v>
      </c>
      <c r="F34" s="31">
        <v>-75</v>
      </c>
      <c r="G34" s="31">
        <v>-67</v>
      </c>
      <c r="H34" s="31">
        <v>-84</v>
      </c>
      <c r="I34" s="136"/>
      <c r="J34" s="144"/>
    </row>
    <row r="35" spans="1:10" ht="16.8" thickBot="1" x14ac:dyDescent="0.35">
      <c r="A35" s="71"/>
      <c r="B35" s="101"/>
      <c r="C35" s="137"/>
      <c r="D35" s="137"/>
      <c r="E35" s="34">
        <v>-98</v>
      </c>
      <c r="F35" s="34">
        <v>-104</v>
      </c>
      <c r="G35" s="34">
        <v>-113</v>
      </c>
      <c r="H35" s="34">
        <v>-156</v>
      </c>
      <c r="I35" s="137"/>
      <c r="J35" s="145"/>
    </row>
    <row r="36" spans="1:10" x14ac:dyDescent="0.3">
      <c r="A36" s="70">
        <v>250</v>
      </c>
      <c r="B36" s="100">
        <v>280</v>
      </c>
      <c r="C36" s="136"/>
      <c r="D36" s="136"/>
      <c r="E36" s="31">
        <v>-87</v>
      </c>
      <c r="F36" s="31">
        <v>-85</v>
      </c>
      <c r="G36" s="31">
        <v>-74</v>
      </c>
      <c r="H36" s="31">
        <v>-94</v>
      </c>
      <c r="I36" s="136"/>
      <c r="J36" s="144"/>
    </row>
    <row r="37" spans="1:10" ht="16.8" thickBot="1" x14ac:dyDescent="0.35">
      <c r="A37" s="71"/>
      <c r="B37" s="101"/>
      <c r="C37" s="137"/>
      <c r="D37" s="137"/>
      <c r="E37" s="34">
        <v>-110</v>
      </c>
      <c r="F37" s="34">
        <v>-117</v>
      </c>
      <c r="G37" s="34">
        <v>-126</v>
      </c>
      <c r="H37" s="34">
        <v>-175</v>
      </c>
      <c r="I37" s="137"/>
      <c r="J37" s="145"/>
    </row>
    <row r="38" spans="1:10" x14ac:dyDescent="0.3">
      <c r="A38" s="70">
        <v>280</v>
      </c>
      <c r="B38" s="100">
        <v>315</v>
      </c>
      <c r="C38" s="136"/>
      <c r="D38" s="136"/>
      <c r="E38" s="31">
        <v>-91</v>
      </c>
      <c r="F38" s="31">
        <v>-89</v>
      </c>
      <c r="G38" s="31">
        <v>-78</v>
      </c>
      <c r="H38" s="31">
        <v>-98</v>
      </c>
      <c r="I38" s="136"/>
      <c r="J38" s="144"/>
    </row>
    <row r="39" spans="1:10" ht="16.8" thickBot="1" x14ac:dyDescent="0.35">
      <c r="A39" s="71"/>
      <c r="B39" s="101"/>
      <c r="C39" s="137"/>
      <c r="D39" s="137"/>
      <c r="E39" s="34">
        <v>-114</v>
      </c>
      <c r="F39" s="34">
        <v>-121</v>
      </c>
      <c r="G39" s="34">
        <v>-130</v>
      </c>
      <c r="H39" s="34">
        <v>-179</v>
      </c>
      <c r="I39" s="137"/>
      <c r="J39" s="145"/>
    </row>
    <row r="40" spans="1:10" x14ac:dyDescent="0.3">
      <c r="A40" s="70">
        <v>315</v>
      </c>
      <c r="B40" s="100">
        <v>355</v>
      </c>
      <c r="C40" s="136"/>
      <c r="D40" s="136"/>
      <c r="E40" s="31">
        <v>-101</v>
      </c>
      <c r="F40" s="31">
        <v>-97</v>
      </c>
      <c r="G40" s="31">
        <v>-87</v>
      </c>
      <c r="H40" s="31">
        <v>-108</v>
      </c>
      <c r="I40" s="136"/>
      <c r="J40" s="144"/>
    </row>
    <row r="41" spans="1:10" ht="16.8" thickBot="1" x14ac:dyDescent="0.35">
      <c r="A41" s="71"/>
      <c r="B41" s="101"/>
      <c r="C41" s="137"/>
      <c r="D41" s="137"/>
      <c r="E41" s="34">
        <v>-126</v>
      </c>
      <c r="F41" s="34">
        <v>-133</v>
      </c>
      <c r="G41" s="34">
        <v>-144</v>
      </c>
      <c r="H41" s="34">
        <v>-197</v>
      </c>
      <c r="I41" s="137"/>
      <c r="J41" s="145"/>
    </row>
    <row r="42" spans="1:10" x14ac:dyDescent="0.3">
      <c r="A42" s="70">
        <v>355</v>
      </c>
      <c r="B42" s="100">
        <v>400</v>
      </c>
      <c r="C42" s="136"/>
      <c r="D42" s="136"/>
      <c r="E42" s="31">
        <v>-107</v>
      </c>
      <c r="F42" s="31">
        <v>-103</v>
      </c>
      <c r="G42" s="31">
        <v>-93</v>
      </c>
      <c r="H42" s="31">
        <v>-114</v>
      </c>
      <c r="I42" s="136"/>
      <c r="J42" s="144"/>
    </row>
    <row r="43" spans="1:10" ht="16.8" thickBot="1" x14ac:dyDescent="0.35">
      <c r="A43" s="71"/>
      <c r="B43" s="101"/>
      <c r="C43" s="137"/>
      <c r="D43" s="137"/>
      <c r="E43" s="34">
        <v>-132</v>
      </c>
      <c r="F43" s="34">
        <v>-139</v>
      </c>
      <c r="G43" s="34">
        <v>-150</v>
      </c>
      <c r="H43" s="34">
        <v>-203</v>
      </c>
      <c r="I43" s="137"/>
      <c r="J43" s="145"/>
    </row>
    <row r="44" spans="1:10" x14ac:dyDescent="0.3">
      <c r="A44" s="70">
        <v>400</v>
      </c>
      <c r="B44" s="100">
        <v>450</v>
      </c>
      <c r="C44" s="136"/>
      <c r="D44" s="136"/>
      <c r="E44" s="31">
        <v>-119</v>
      </c>
      <c r="F44" s="31">
        <v>-113</v>
      </c>
      <c r="G44" s="31">
        <v>-103</v>
      </c>
      <c r="H44" s="31">
        <v>-126</v>
      </c>
      <c r="I44" s="136"/>
      <c r="J44" s="144"/>
    </row>
    <row r="45" spans="1:10" ht="16.8" thickBot="1" x14ac:dyDescent="0.35">
      <c r="A45" s="71"/>
      <c r="B45" s="101"/>
      <c r="C45" s="137"/>
      <c r="D45" s="137"/>
      <c r="E45" s="34">
        <v>-146</v>
      </c>
      <c r="F45" s="34">
        <v>-153</v>
      </c>
      <c r="G45" s="34">
        <v>-166</v>
      </c>
      <c r="H45" s="34">
        <v>-223</v>
      </c>
      <c r="I45" s="137"/>
      <c r="J45" s="145"/>
    </row>
    <row r="46" spans="1:10" x14ac:dyDescent="0.3">
      <c r="A46" s="70">
        <v>450</v>
      </c>
      <c r="B46" s="100">
        <v>500</v>
      </c>
      <c r="C46" s="136"/>
      <c r="D46" s="136"/>
      <c r="E46" s="31">
        <v>-125</v>
      </c>
      <c r="F46" s="31">
        <v>-119</v>
      </c>
      <c r="G46" s="31">
        <v>-109</v>
      </c>
      <c r="H46" s="31">
        <v>-132</v>
      </c>
      <c r="I46" s="136"/>
      <c r="J46" s="144"/>
    </row>
    <row r="47" spans="1:10" ht="16.8" thickBot="1" x14ac:dyDescent="0.35">
      <c r="A47" s="166"/>
      <c r="B47" s="167"/>
      <c r="C47" s="157"/>
      <c r="D47" s="157"/>
      <c r="E47" s="45">
        <v>-152</v>
      </c>
      <c r="F47" s="45">
        <v>-159</v>
      </c>
      <c r="G47" s="45">
        <v>-172</v>
      </c>
      <c r="H47" s="45">
        <v>-229</v>
      </c>
      <c r="I47" s="157"/>
      <c r="J47" s="154"/>
    </row>
    <row r="48" spans="1:10" ht="16.8" thickTop="1" x14ac:dyDescent="0.3">
      <c r="A48" s="163">
        <v>500</v>
      </c>
      <c r="B48" s="164">
        <v>560</v>
      </c>
      <c r="C48" s="165"/>
      <c r="D48" s="165"/>
      <c r="E48" s="165"/>
      <c r="F48" s="46">
        <v>-150</v>
      </c>
      <c r="G48" s="46">
        <v>-150</v>
      </c>
      <c r="H48" s="46">
        <v>-150</v>
      </c>
      <c r="I48" s="165"/>
      <c r="J48" s="162"/>
    </row>
    <row r="49" spans="1:10" ht="16.8" thickBot="1" x14ac:dyDescent="0.35">
      <c r="A49" s="62"/>
      <c r="B49" s="101"/>
      <c r="C49" s="88"/>
      <c r="D49" s="88"/>
      <c r="E49" s="88"/>
      <c r="F49" s="34">
        <v>-194</v>
      </c>
      <c r="G49" s="34">
        <v>-220</v>
      </c>
      <c r="H49" s="34">
        <v>-260</v>
      </c>
      <c r="I49" s="88"/>
      <c r="J49" s="159"/>
    </row>
    <row r="50" spans="1:10" x14ac:dyDescent="0.3">
      <c r="A50" s="61">
        <v>560</v>
      </c>
      <c r="B50" s="100">
        <v>630</v>
      </c>
      <c r="C50" s="87"/>
      <c r="D50" s="87"/>
      <c r="E50" s="87"/>
      <c r="F50" s="31">
        <v>-155</v>
      </c>
      <c r="G50" s="31">
        <v>-155</v>
      </c>
      <c r="H50" s="31">
        <v>-155</v>
      </c>
      <c r="I50" s="87"/>
      <c r="J50" s="158"/>
    </row>
    <row r="51" spans="1:10" ht="16.8" thickBot="1" x14ac:dyDescent="0.35">
      <c r="A51" s="62"/>
      <c r="B51" s="101"/>
      <c r="C51" s="88"/>
      <c r="D51" s="88"/>
      <c r="E51" s="88"/>
      <c r="F51" s="34">
        <v>-199</v>
      </c>
      <c r="G51" s="34">
        <v>-225</v>
      </c>
      <c r="H51" s="34">
        <v>-265</v>
      </c>
      <c r="I51" s="88"/>
      <c r="J51" s="159"/>
    </row>
    <row r="52" spans="1:10" x14ac:dyDescent="0.3">
      <c r="A52" s="61">
        <v>630</v>
      </c>
      <c r="B52" s="100">
        <v>710</v>
      </c>
      <c r="C52" s="87"/>
      <c r="D52" s="87"/>
      <c r="E52" s="87"/>
      <c r="F52" s="31">
        <v>-175</v>
      </c>
      <c r="G52" s="31">
        <v>-175</v>
      </c>
      <c r="H52" s="31">
        <v>-175</v>
      </c>
      <c r="I52" s="87"/>
      <c r="J52" s="158"/>
    </row>
    <row r="53" spans="1:10" ht="16.8" thickBot="1" x14ac:dyDescent="0.35">
      <c r="A53" s="62"/>
      <c r="B53" s="101"/>
      <c r="C53" s="88"/>
      <c r="D53" s="88"/>
      <c r="E53" s="88"/>
      <c r="F53" s="34">
        <v>-225</v>
      </c>
      <c r="G53" s="34">
        <v>-255</v>
      </c>
      <c r="H53" s="34">
        <v>-300</v>
      </c>
      <c r="I53" s="88"/>
      <c r="J53" s="159"/>
    </row>
    <row r="54" spans="1:10" x14ac:dyDescent="0.3">
      <c r="A54" s="61">
        <v>710</v>
      </c>
      <c r="B54" s="100">
        <v>800</v>
      </c>
      <c r="C54" s="87"/>
      <c r="D54" s="87"/>
      <c r="E54" s="87"/>
      <c r="F54" s="31">
        <v>-185</v>
      </c>
      <c r="G54" s="31">
        <v>-185</v>
      </c>
      <c r="H54" s="31">
        <v>-185</v>
      </c>
      <c r="I54" s="87"/>
      <c r="J54" s="158"/>
    </row>
    <row r="55" spans="1:10" ht="16.8" thickBot="1" x14ac:dyDescent="0.35">
      <c r="A55" s="62"/>
      <c r="B55" s="101"/>
      <c r="C55" s="88"/>
      <c r="D55" s="88"/>
      <c r="E55" s="88"/>
      <c r="F55" s="34">
        <v>-235</v>
      </c>
      <c r="G55" s="34">
        <v>-265</v>
      </c>
      <c r="H55" s="34">
        <v>-310</v>
      </c>
      <c r="I55" s="88"/>
      <c r="J55" s="159"/>
    </row>
    <row r="56" spans="1:10" x14ac:dyDescent="0.3">
      <c r="A56" s="61">
        <v>800</v>
      </c>
      <c r="B56" s="100">
        <v>900</v>
      </c>
      <c r="C56" s="87"/>
      <c r="D56" s="87"/>
      <c r="E56" s="87"/>
      <c r="F56" s="31">
        <v>-210</v>
      </c>
      <c r="G56" s="31">
        <v>-210</v>
      </c>
      <c r="H56" s="31">
        <v>-210</v>
      </c>
      <c r="I56" s="87"/>
      <c r="J56" s="158"/>
    </row>
    <row r="57" spans="1:10" ht="16.8" thickBot="1" x14ac:dyDescent="0.35">
      <c r="A57" s="62"/>
      <c r="B57" s="101"/>
      <c r="C57" s="88"/>
      <c r="D57" s="88"/>
      <c r="E57" s="88"/>
      <c r="F57" s="34">
        <v>-266</v>
      </c>
      <c r="G57" s="34">
        <v>-300</v>
      </c>
      <c r="H57" s="34">
        <v>-350</v>
      </c>
      <c r="I57" s="88"/>
      <c r="J57" s="159"/>
    </row>
    <row r="58" spans="1:10" x14ac:dyDescent="0.3">
      <c r="A58" s="61">
        <v>900</v>
      </c>
      <c r="B58" s="98">
        <v>1000</v>
      </c>
      <c r="C58" s="87"/>
      <c r="D58" s="87"/>
      <c r="E58" s="87"/>
      <c r="F58" s="31">
        <v>-220</v>
      </c>
      <c r="G58" s="31">
        <v>-220</v>
      </c>
      <c r="H58" s="31">
        <v>-220</v>
      </c>
      <c r="I58" s="87"/>
      <c r="J58" s="158"/>
    </row>
    <row r="59" spans="1:10" ht="16.8" thickBot="1" x14ac:dyDescent="0.35">
      <c r="A59" s="62"/>
      <c r="B59" s="99"/>
      <c r="C59" s="88"/>
      <c r="D59" s="88"/>
      <c r="E59" s="88"/>
      <c r="F59" s="34">
        <v>-276</v>
      </c>
      <c r="G59" s="34">
        <v>-310</v>
      </c>
      <c r="H59" s="34">
        <v>-360</v>
      </c>
      <c r="I59" s="88"/>
      <c r="J59" s="159"/>
    </row>
    <row r="60" spans="1:10" x14ac:dyDescent="0.3">
      <c r="A60" s="96">
        <v>1000</v>
      </c>
      <c r="B60" s="98">
        <v>1120</v>
      </c>
      <c r="C60" s="87"/>
      <c r="D60" s="87"/>
      <c r="E60" s="87"/>
      <c r="F60" s="31">
        <v>-250</v>
      </c>
      <c r="G60" s="31">
        <v>-250</v>
      </c>
      <c r="H60" s="31">
        <v>-250</v>
      </c>
      <c r="I60" s="87"/>
      <c r="J60" s="158"/>
    </row>
    <row r="61" spans="1:10" ht="16.8" thickBot="1" x14ac:dyDescent="0.35">
      <c r="A61" s="97"/>
      <c r="B61" s="99"/>
      <c r="C61" s="88"/>
      <c r="D61" s="88"/>
      <c r="E61" s="88"/>
      <c r="F61" s="34">
        <v>-316</v>
      </c>
      <c r="G61" s="34">
        <v>-355</v>
      </c>
      <c r="H61" s="34">
        <v>-415</v>
      </c>
      <c r="I61" s="88"/>
      <c r="J61" s="159"/>
    </row>
    <row r="62" spans="1:10" x14ac:dyDescent="0.3">
      <c r="A62" s="96">
        <v>1120</v>
      </c>
      <c r="B62" s="98">
        <v>1250</v>
      </c>
      <c r="C62" s="87"/>
      <c r="D62" s="87"/>
      <c r="E62" s="87"/>
      <c r="F62" s="31">
        <v>-260</v>
      </c>
      <c r="G62" s="31">
        <v>-260</v>
      </c>
      <c r="H62" s="31">
        <v>-260</v>
      </c>
      <c r="I62" s="87"/>
      <c r="J62" s="158"/>
    </row>
    <row r="63" spans="1:10" ht="16.8" thickBot="1" x14ac:dyDescent="0.35">
      <c r="A63" s="97"/>
      <c r="B63" s="99"/>
      <c r="C63" s="88"/>
      <c r="D63" s="88"/>
      <c r="E63" s="88"/>
      <c r="F63" s="34">
        <v>-326</v>
      </c>
      <c r="G63" s="34">
        <v>-365</v>
      </c>
      <c r="H63" s="34">
        <v>-425</v>
      </c>
      <c r="I63" s="88"/>
      <c r="J63" s="159"/>
    </row>
    <row r="64" spans="1:10" x14ac:dyDescent="0.3">
      <c r="A64" s="96">
        <v>1250</v>
      </c>
      <c r="B64" s="98">
        <v>1400</v>
      </c>
      <c r="C64" s="87"/>
      <c r="D64" s="87"/>
      <c r="E64" s="87"/>
      <c r="F64" s="31">
        <v>-300</v>
      </c>
      <c r="G64" s="31">
        <v>-300</v>
      </c>
      <c r="H64" s="31">
        <v>-300</v>
      </c>
      <c r="I64" s="87"/>
      <c r="J64" s="158"/>
    </row>
    <row r="65" spans="1:10" ht="16.8" thickBot="1" x14ac:dyDescent="0.35">
      <c r="A65" s="97"/>
      <c r="B65" s="99"/>
      <c r="C65" s="88"/>
      <c r="D65" s="88"/>
      <c r="E65" s="88"/>
      <c r="F65" s="34">
        <v>-378</v>
      </c>
      <c r="G65" s="34">
        <v>-425</v>
      </c>
      <c r="H65" s="34">
        <v>-495</v>
      </c>
      <c r="I65" s="88"/>
      <c r="J65" s="159"/>
    </row>
    <row r="66" spans="1:10" x14ac:dyDescent="0.3">
      <c r="A66" s="96">
        <v>1400</v>
      </c>
      <c r="B66" s="98">
        <v>1600</v>
      </c>
      <c r="C66" s="87"/>
      <c r="D66" s="87"/>
      <c r="E66" s="87"/>
      <c r="F66" s="31">
        <v>-330</v>
      </c>
      <c r="G66" s="31">
        <v>-330</v>
      </c>
      <c r="H66" s="31">
        <v>-330</v>
      </c>
      <c r="I66" s="87"/>
      <c r="J66" s="158"/>
    </row>
    <row r="67" spans="1:10" ht="16.8" thickBot="1" x14ac:dyDescent="0.35">
      <c r="A67" s="97"/>
      <c r="B67" s="99"/>
      <c r="C67" s="88"/>
      <c r="D67" s="88"/>
      <c r="E67" s="88"/>
      <c r="F67" s="34">
        <v>-408</v>
      </c>
      <c r="G67" s="34">
        <v>-455</v>
      </c>
      <c r="H67" s="34">
        <v>-525</v>
      </c>
      <c r="I67" s="88"/>
      <c r="J67" s="159"/>
    </row>
    <row r="68" spans="1:10" x14ac:dyDescent="0.3">
      <c r="A68" s="96">
        <v>1600</v>
      </c>
      <c r="B68" s="98">
        <v>1800</v>
      </c>
      <c r="C68" s="87"/>
      <c r="D68" s="87"/>
      <c r="E68" s="87"/>
      <c r="F68" s="31">
        <v>-370</v>
      </c>
      <c r="G68" s="31">
        <v>-370</v>
      </c>
      <c r="H68" s="31">
        <v>-370</v>
      </c>
      <c r="I68" s="87"/>
      <c r="J68" s="158"/>
    </row>
    <row r="69" spans="1:10" ht="16.8" thickBot="1" x14ac:dyDescent="0.35">
      <c r="A69" s="97"/>
      <c r="B69" s="99"/>
      <c r="C69" s="88"/>
      <c r="D69" s="88"/>
      <c r="E69" s="88"/>
      <c r="F69" s="34">
        <v>-462</v>
      </c>
      <c r="G69" s="34">
        <v>-520</v>
      </c>
      <c r="H69" s="34">
        <v>-600</v>
      </c>
      <c r="I69" s="88"/>
      <c r="J69" s="159"/>
    </row>
    <row r="70" spans="1:10" x14ac:dyDescent="0.3">
      <c r="A70" s="96">
        <v>1800</v>
      </c>
      <c r="B70" s="98">
        <v>2000</v>
      </c>
      <c r="C70" s="87"/>
      <c r="D70" s="87"/>
      <c r="E70" s="87"/>
      <c r="F70" s="31">
        <v>-400</v>
      </c>
      <c r="G70" s="31">
        <v>-400</v>
      </c>
      <c r="H70" s="31">
        <v>-400</v>
      </c>
      <c r="I70" s="87"/>
      <c r="J70" s="158"/>
    </row>
    <row r="71" spans="1:10" ht="16.8" thickBot="1" x14ac:dyDescent="0.35">
      <c r="A71" s="97"/>
      <c r="B71" s="99"/>
      <c r="C71" s="88"/>
      <c r="D71" s="88"/>
      <c r="E71" s="88"/>
      <c r="F71" s="34">
        <v>-492</v>
      </c>
      <c r="G71" s="34">
        <v>-550</v>
      </c>
      <c r="H71" s="34">
        <v>-630</v>
      </c>
      <c r="I71" s="88"/>
      <c r="J71" s="159"/>
    </row>
    <row r="72" spans="1:10" x14ac:dyDescent="0.3">
      <c r="A72" s="96">
        <v>2000</v>
      </c>
      <c r="B72" s="98">
        <v>2240</v>
      </c>
      <c r="C72" s="87"/>
      <c r="D72" s="87"/>
      <c r="E72" s="87"/>
      <c r="F72" s="31">
        <v>-440</v>
      </c>
      <c r="G72" s="31">
        <v>-440</v>
      </c>
      <c r="H72" s="31">
        <v>-440</v>
      </c>
      <c r="I72" s="87"/>
      <c r="J72" s="158"/>
    </row>
    <row r="73" spans="1:10" ht="16.8" thickBot="1" x14ac:dyDescent="0.35">
      <c r="A73" s="97"/>
      <c r="B73" s="99"/>
      <c r="C73" s="88"/>
      <c r="D73" s="88"/>
      <c r="E73" s="88"/>
      <c r="F73" s="34">
        <v>-550</v>
      </c>
      <c r="G73" s="34">
        <v>-615</v>
      </c>
      <c r="H73" s="34">
        <v>-720</v>
      </c>
      <c r="I73" s="88"/>
      <c r="J73" s="159"/>
    </row>
    <row r="74" spans="1:10" x14ac:dyDescent="0.3">
      <c r="A74" s="96">
        <v>2240</v>
      </c>
      <c r="B74" s="98">
        <v>2500</v>
      </c>
      <c r="C74" s="87"/>
      <c r="D74" s="87"/>
      <c r="E74" s="87"/>
      <c r="F74" s="31">
        <v>-460</v>
      </c>
      <c r="G74" s="31">
        <v>-460</v>
      </c>
      <c r="H74" s="31">
        <v>-460</v>
      </c>
      <c r="I74" s="87"/>
      <c r="J74" s="158"/>
    </row>
    <row r="75" spans="1:10" ht="16.8" thickBot="1" x14ac:dyDescent="0.35">
      <c r="A75" s="97"/>
      <c r="B75" s="99"/>
      <c r="C75" s="88"/>
      <c r="D75" s="88"/>
      <c r="E75" s="88"/>
      <c r="F75" s="34">
        <v>-570</v>
      </c>
      <c r="G75" s="34">
        <v>-635</v>
      </c>
      <c r="H75" s="34">
        <v>-740</v>
      </c>
      <c r="I75" s="88"/>
      <c r="J75" s="159"/>
    </row>
    <row r="76" spans="1:10" x14ac:dyDescent="0.3">
      <c r="A76" s="96">
        <v>2500</v>
      </c>
      <c r="B76" s="98">
        <v>2800</v>
      </c>
      <c r="C76" s="87"/>
      <c r="D76" s="87"/>
      <c r="E76" s="87"/>
      <c r="F76" s="31">
        <v>-550</v>
      </c>
      <c r="G76" s="31">
        <v>-550</v>
      </c>
      <c r="H76" s="31">
        <v>-550</v>
      </c>
      <c r="I76" s="87"/>
      <c r="J76" s="158"/>
    </row>
    <row r="77" spans="1:10" ht="16.8" thickBot="1" x14ac:dyDescent="0.35">
      <c r="A77" s="97"/>
      <c r="B77" s="99"/>
      <c r="C77" s="88"/>
      <c r="D77" s="88"/>
      <c r="E77" s="88"/>
      <c r="F77" s="34">
        <v>-685</v>
      </c>
      <c r="G77" s="34">
        <v>-760</v>
      </c>
      <c r="H77" s="34">
        <v>-880</v>
      </c>
      <c r="I77" s="88"/>
      <c r="J77" s="159"/>
    </row>
    <row r="78" spans="1:10" x14ac:dyDescent="0.3">
      <c r="A78" s="96">
        <v>2800</v>
      </c>
      <c r="B78" s="98">
        <v>3150</v>
      </c>
      <c r="C78" s="87"/>
      <c r="D78" s="87"/>
      <c r="E78" s="87"/>
      <c r="F78" s="31">
        <v>-580</v>
      </c>
      <c r="G78" s="31">
        <v>-580</v>
      </c>
      <c r="H78" s="31">
        <v>-580</v>
      </c>
      <c r="I78" s="87"/>
      <c r="J78" s="158"/>
    </row>
    <row r="79" spans="1:10" ht="16.8" thickBot="1" x14ac:dyDescent="0.35">
      <c r="A79" s="155"/>
      <c r="B79" s="156"/>
      <c r="C79" s="160"/>
      <c r="D79" s="160"/>
      <c r="E79" s="160"/>
      <c r="F79" s="45">
        <v>-715</v>
      </c>
      <c r="G79" s="45">
        <v>-790</v>
      </c>
      <c r="H79" s="45">
        <v>-910</v>
      </c>
      <c r="I79" s="160"/>
      <c r="J79" s="161"/>
    </row>
    <row r="80" spans="1:10" ht="16.8" thickTop="1" x14ac:dyDescent="0.3"/>
  </sheetData>
  <mergeCells count="223">
    <mergeCell ref="A8:A9"/>
    <mergeCell ref="B8:B9"/>
    <mergeCell ref="A10:A11"/>
    <mergeCell ref="B10:B11"/>
    <mergeCell ref="A12:A13"/>
    <mergeCell ref="B12:B13"/>
    <mergeCell ref="A1:B1"/>
    <mergeCell ref="A2:B2"/>
    <mergeCell ref="C1:J2"/>
    <mergeCell ref="A4:A5"/>
    <mergeCell ref="B4:B5"/>
    <mergeCell ref="A6:A7"/>
    <mergeCell ref="B6:B7"/>
    <mergeCell ref="I16:I17"/>
    <mergeCell ref="J16:J17"/>
    <mergeCell ref="A18:A19"/>
    <mergeCell ref="B18:B19"/>
    <mergeCell ref="C18:C19"/>
    <mergeCell ref="D18:D19"/>
    <mergeCell ref="I18:I19"/>
    <mergeCell ref="J18:J19"/>
    <mergeCell ref="A14:A15"/>
    <mergeCell ref="B14:B15"/>
    <mergeCell ref="A16:A17"/>
    <mergeCell ref="B16:B17"/>
    <mergeCell ref="C16:C17"/>
    <mergeCell ref="D16:D17"/>
    <mergeCell ref="A22:A23"/>
    <mergeCell ref="B22:B23"/>
    <mergeCell ref="C22:C23"/>
    <mergeCell ref="D22:D23"/>
    <mergeCell ref="I22:I23"/>
    <mergeCell ref="J22:J23"/>
    <mergeCell ref="A20:A21"/>
    <mergeCell ref="B20:B21"/>
    <mergeCell ref="C20:C21"/>
    <mergeCell ref="D20:D21"/>
    <mergeCell ref="I20:I21"/>
    <mergeCell ref="J20:J21"/>
    <mergeCell ref="A26:A27"/>
    <mergeCell ref="B26:B27"/>
    <mergeCell ref="C26:C27"/>
    <mergeCell ref="D26:D27"/>
    <mergeCell ref="I26:I27"/>
    <mergeCell ref="J26:J27"/>
    <mergeCell ref="A24:A25"/>
    <mergeCell ref="B24:B25"/>
    <mergeCell ref="C24:C25"/>
    <mergeCell ref="D24:D25"/>
    <mergeCell ref="I24:I25"/>
    <mergeCell ref="J24:J25"/>
    <mergeCell ref="A30:A31"/>
    <mergeCell ref="B30:B31"/>
    <mergeCell ref="C30:C31"/>
    <mergeCell ref="D30:D31"/>
    <mergeCell ref="I30:I31"/>
    <mergeCell ref="J30:J31"/>
    <mergeCell ref="A28:A29"/>
    <mergeCell ref="B28:B29"/>
    <mergeCell ref="C28:C29"/>
    <mergeCell ref="D28:D29"/>
    <mergeCell ref="I28:I29"/>
    <mergeCell ref="J28:J29"/>
    <mergeCell ref="A34:A35"/>
    <mergeCell ref="B34:B35"/>
    <mergeCell ref="C34:C35"/>
    <mergeCell ref="D34:D35"/>
    <mergeCell ref="I34:I35"/>
    <mergeCell ref="J34:J35"/>
    <mergeCell ref="A32:A33"/>
    <mergeCell ref="B32:B33"/>
    <mergeCell ref="C32:C33"/>
    <mergeCell ref="D32:D33"/>
    <mergeCell ref="I32:I33"/>
    <mergeCell ref="J32:J33"/>
    <mergeCell ref="A38:A39"/>
    <mergeCell ref="B38:B39"/>
    <mergeCell ref="C38:C39"/>
    <mergeCell ref="D38:D39"/>
    <mergeCell ref="I38:I39"/>
    <mergeCell ref="J38:J39"/>
    <mergeCell ref="A36:A37"/>
    <mergeCell ref="B36:B37"/>
    <mergeCell ref="C36:C37"/>
    <mergeCell ref="D36:D37"/>
    <mergeCell ref="I36:I37"/>
    <mergeCell ref="J36:J37"/>
    <mergeCell ref="A42:A43"/>
    <mergeCell ref="B42:B43"/>
    <mergeCell ref="C42:C43"/>
    <mergeCell ref="D42:D43"/>
    <mergeCell ref="I42:I43"/>
    <mergeCell ref="J42:J43"/>
    <mergeCell ref="A40:A41"/>
    <mergeCell ref="B40:B41"/>
    <mergeCell ref="C40:C41"/>
    <mergeCell ref="D40:D41"/>
    <mergeCell ref="I40:I41"/>
    <mergeCell ref="J40:J41"/>
    <mergeCell ref="A46:A47"/>
    <mergeCell ref="B46:B47"/>
    <mergeCell ref="C46:C47"/>
    <mergeCell ref="D46:D47"/>
    <mergeCell ref="I46:I47"/>
    <mergeCell ref="J46:J47"/>
    <mergeCell ref="A44:A45"/>
    <mergeCell ref="B44:B45"/>
    <mergeCell ref="C44:C45"/>
    <mergeCell ref="D44:D45"/>
    <mergeCell ref="I44:I45"/>
    <mergeCell ref="J44:J45"/>
    <mergeCell ref="J48:J49"/>
    <mergeCell ref="A50:A51"/>
    <mergeCell ref="B50:B51"/>
    <mergeCell ref="C50:C51"/>
    <mergeCell ref="D50:D51"/>
    <mergeCell ref="E50:E51"/>
    <mergeCell ref="I50:I51"/>
    <mergeCell ref="J50:J51"/>
    <mergeCell ref="A48:A49"/>
    <mergeCell ref="B48:B49"/>
    <mergeCell ref="C48:C49"/>
    <mergeCell ref="D48:D49"/>
    <mergeCell ref="E48:E49"/>
    <mergeCell ref="I48:I49"/>
    <mergeCell ref="J52:J53"/>
    <mergeCell ref="A54:A55"/>
    <mergeCell ref="B54:B55"/>
    <mergeCell ref="C54:C55"/>
    <mergeCell ref="D54:D55"/>
    <mergeCell ref="E54:E55"/>
    <mergeCell ref="I54:I55"/>
    <mergeCell ref="J54:J55"/>
    <mergeCell ref="A52:A53"/>
    <mergeCell ref="B52:B53"/>
    <mergeCell ref="C52:C53"/>
    <mergeCell ref="D52:D53"/>
    <mergeCell ref="E52:E53"/>
    <mergeCell ref="I52:I53"/>
    <mergeCell ref="J56:J57"/>
    <mergeCell ref="A58:A59"/>
    <mergeCell ref="B58:B59"/>
    <mergeCell ref="C58:C59"/>
    <mergeCell ref="D58:D59"/>
    <mergeCell ref="E58:E59"/>
    <mergeCell ref="I58:I59"/>
    <mergeCell ref="J58:J59"/>
    <mergeCell ref="A56:A57"/>
    <mergeCell ref="B56:B57"/>
    <mergeCell ref="C56:C57"/>
    <mergeCell ref="D56:D57"/>
    <mergeCell ref="E56:E57"/>
    <mergeCell ref="I56:I57"/>
    <mergeCell ref="J60:J61"/>
    <mergeCell ref="A62:A63"/>
    <mergeCell ref="B62:B63"/>
    <mergeCell ref="C62:C63"/>
    <mergeCell ref="D62:D63"/>
    <mergeCell ref="E62:E63"/>
    <mergeCell ref="I62:I63"/>
    <mergeCell ref="J62:J63"/>
    <mergeCell ref="A60:A61"/>
    <mergeCell ref="B60:B61"/>
    <mergeCell ref="C60:C61"/>
    <mergeCell ref="D60:D61"/>
    <mergeCell ref="E60:E61"/>
    <mergeCell ref="I60:I61"/>
    <mergeCell ref="J64:J65"/>
    <mergeCell ref="A66:A67"/>
    <mergeCell ref="B66:B67"/>
    <mergeCell ref="C66:C67"/>
    <mergeCell ref="D66:D67"/>
    <mergeCell ref="E66:E67"/>
    <mergeCell ref="I66:I67"/>
    <mergeCell ref="J66:J67"/>
    <mergeCell ref="A64:A65"/>
    <mergeCell ref="B64:B65"/>
    <mergeCell ref="C64:C65"/>
    <mergeCell ref="D64:D65"/>
    <mergeCell ref="E64:E65"/>
    <mergeCell ref="I64:I65"/>
    <mergeCell ref="J68:J69"/>
    <mergeCell ref="A70:A71"/>
    <mergeCell ref="B70:B71"/>
    <mergeCell ref="C70:C71"/>
    <mergeCell ref="D70:D71"/>
    <mergeCell ref="E70:E71"/>
    <mergeCell ref="I70:I71"/>
    <mergeCell ref="J70:J71"/>
    <mergeCell ref="A68:A69"/>
    <mergeCell ref="B68:B69"/>
    <mergeCell ref="C68:C69"/>
    <mergeCell ref="D68:D69"/>
    <mergeCell ref="E68:E69"/>
    <mergeCell ref="I68:I69"/>
    <mergeCell ref="J72:J73"/>
    <mergeCell ref="A74:A75"/>
    <mergeCell ref="B74:B75"/>
    <mergeCell ref="C74:C75"/>
    <mergeCell ref="D74:D75"/>
    <mergeCell ref="E74:E75"/>
    <mergeCell ref="I74:I75"/>
    <mergeCell ref="J74:J75"/>
    <mergeCell ref="A72:A73"/>
    <mergeCell ref="B72:B73"/>
    <mergeCell ref="C72:C73"/>
    <mergeCell ref="D72:D73"/>
    <mergeCell ref="E72:E73"/>
    <mergeCell ref="I72:I73"/>
    <mergeCell ref="J76:J77"/>
    <mergeCell ref="A78:A79"/>
    <mergeCell ref="B78:B79"/>
    <mergeCell ref="C78:C79"/>
    <mergeCell ref="D78:D79"/>
    <mergeCell ref="E78:E79"/>
    <mergeCell ref="I78:I79"/>
    <mergeCell ref="J78:J79"/>
    <mergeCell ref="A76:A77"/>
    <mergeCell ref="B76:B77"/>
    <mergeCell ref="C76:C77"/>
    <mergeCell ref="D76:D77"/>
    <mergeCell ref="E76:E77"/>
    <mergeCell ref="I76:I77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A8F5-0A5F-4B81-93F1-30A308B87559}">
  <dimension ref="A1:J80"/>
  <sheetViews>
    <sheetView topLeftCell="A64" workbookViewId="0">
      <selection activeCell="D6" sqref="D6"/>
    </sheetView>
  </sheetViews>
  <sheetFormatPr defaultRowHeight="16.2" x14ac:dyDescent="0.3"/>
  <sheetData>
    <row r="1" spans="1:10" ht="16.8" thickTop="1" x14ac:dyDescent="0.3">
      <c r="A1" s="102" t="s">
        <v>6</v>
      </c>
      <c r="B1" s="103"/>
      <c r="C1" s="92" t="s">
        <v>51</v>
      </c>
      <c r="D1" s="78"/>
      <c r="E1" s="78"/>
      <c r="F1" s="78"/>
      <c r="G1" s="78"/>
      <c r="H1" s="78"/>
      <c r="I1" s="78"/>
      <c r="J1" s="79"/>
    </row>
    <row r="2" spans="1:10" ht="16.8" thickBot="1" x14ac:dyDescent="0.35">
      <c r="A2" s="85" t="s">
        <v>1</v>
      </c>
      <c r="B2" s="104"/>
      <c r="C2" s="94"/>
      <c r="D2" s="81"/>
      <c r="E2" s="81"/>
      <c r="F2" s="81"/>
      <c r="G2" s="81"/>
      <c r="H2" s="81"/>
      <c r="I2" s="81"/>
      <c r="J2" s="82"/>
    </row>
    <row r="3" spans="1:10" ht="16.8" thickBot="1" x14ac:dyDescent="0.35">
      <c r="A3" s="39" t="s">
        <v>3</v>
      </c>
      <c r="B3" s="22" t="s">
        <v>4</v>
      </c>
      <c r="C3" s="20">
        <v>3</v>
      </c>
      <c r="D3" s="20">
        <v>4</v>
      </c>
      <c r="E3" s="20">
        <v>5</v>
      </c>
      <c r="F3" s="20">
        <v>6</v>
      </c>
      <c r="G3" s="20">
        <v>7</v>
      </c>
      <c r="H3" s="20">
        <v>8</v>
      </c>
      <c r="I3" s="20">
        <v>9</v>
      </c>
      <c r="J3" s="2">
        <v>10</v>
      </c>
    </row>
    <row r="4" spans="1:10" x14ac:dyDescent="0.3">
      <c r="A4" s="179" t="s">
        <v>5</v>
      </c>
      <c r="B4" s="100">
        <v>3</v>
      </c>
      <c r="C4" s="31">
        <v>-14</v>
      </c>
      <c r="D4" s="31">
        <v>-14</v>
      </c>
      <c r="E4" s="31">
        <v>-14</v>
      </c>
      <c r="F4" s="31">
        <v>-14</v>
      </c>
      <c r="G4" s="31">
        <v>-14</v>
      </c>
      <c r="H4" s="31">
        <v>-14</v>
      </c>
      <c r="I4" s="31">
        <v>-14</v>
      </c>
      <c r="J4" s="32">
        <v>-14</v>
      </c>
    </row>
    <row r="5" spans="1:10" ht="16.8" thickBot="1" x14ac:dyDescent="0.35">
      <c r="A5" s="180"/>
      <c r="B5" s="101"/>
      <c r="C5" s="34">
        <v>-16</v>
      </c>
      <c r="D5" s="34">
        <v>-17</v>
      </c>
      <c r="E5" s="34">
        <v>-18</v>
      </c>
      <c r="F5" s="34">
        <v>-20</v>
      </c>
      <c r="G5" s="34">
        <v>-24</v>
      </c>
      <c r="H5" s="34">
        <v>-28</v>
      </c>
      <c r="I5" s="34">
        <v>-39</v>
      </c>
      <c r="J5" s="35">
        <v>-54</v>
      </c>
    </row>
    <row r="6" spans="1:10" x14ac:dyDescent="0.3">
      <c r="A6" s="70">
        <v>3</v>
      </c>
      <c r="B6" s="100">
        <v>6</v>
      </c>
      <c r="C6" s="31">
        <v>-18</v>
      </c>
      <c r="D6" s="31">
        <v>-17.5</v>
      </c>
      <c r="E6" s="31">
        <v>-18</v>
      </c>
      <c r="F6" s="31">
        <v>-16</v>
      </c>
      <c r="G6" s="31">
        <v>-15</v>
      </c>
      <c r="H6" s="31">
        <v>-19</v>
      </c>
      <c r="I6" s="31">
        <v>-19</v>
      </c>
      <c r="J6" s="32">
        <v>-19</v>
      </c>
    </row>
    <row r="7" spans="1:10" ht="16.8" thickBot="1" x14ac:dyDescent="0.35">
      <c r="A7" s="71"/>
      <c r="B7" s="101"/>
      <c r="C7" s="34">
        <v>-20.5</v>
      </c>
      <c r="D7" s="34">
        <v>-21.5</v>
      </c>
      <c r="E7" s="34">
        <v>-23</v>
      </c>
      <c r="F7" s="34">
        <v>-24</v>
      </c>
      <c r="G7" s="34">
        <v>-27</v>
      </c>
      <c r="H7" s="34">
        <v>-37</v>
      </c>
      <c r="I7" s="34">
        <v>-49</v>
      </c>
      <c r="J7" s="35">
        <v>-67</v>
      </c>
    </row>
    <row r="8" spans="1:10" x14ac:dyDescent="0.3">
      <c r="A8" s="70">
        <v>6</v>
      </c>
      <c r="B8" s="100">
        <v>10</v>
      </c>
      <c r="C8" s="31">
        <v>-22</v>
      </c>
      <c r="D8" s="31">
        <v>-21.5</v>
      </c>
      <c r="E8" s="31">
        <v>-21</v>
      </c>
      <c r="F8" s="31">
        <v>-20</v>
      </c>
      <c r="G8" s="31">
        <v>-17</v>
      </c>
      <c r="H8" s="31">
        <v>-23</v>
      </c>
      <c r="I8" s="31">
        <v>-23</v>
      </c>
      <c r="J8" s="32">
        <v>-23</v>
      </c>
    </row>
    <row r="9" spans="1:10" ht="16.8" thickBot="1" x14ac:dyDescent="0.35">
      <c r="A9" s="71"/>
      <c r="B9" s="101"/>
      <c r="C9" s="34">
        <v>-24.5</v>
      </c>
      <c r="D9" s="34">
        <v>-25.5</v>
      </c>
      <c r="E9" s="34">
        <v>-27</v>
      </c>
      <c r="F9" s="34">
        <v>-29</v>
      </c>
      <c r="G9" s="34">
        <v>-32</v>
      </c>
      <c r="H9" s="34">
        <v>-45</v>
      </c>
      <c r="I9" s="34">
        <v>-59</v>
      </c>
      <c r="J9" s="35">
        <v>-81</v>
      </c>
    </row>
    <row r="10" spans="1:10" x14ac:dyDescent="0.3">
      <c r="A10" s="70">
        <v>10</v>
      </c>
      <c r="B10" s="100">
        <v>18</v>
      </c>
      <c r="C10" s="31">
        <v>-27</v>
      </c>
      <c r="D10" s="31">
        <v>-26</v>
      </c>
      <c r="E10" s="31">
        <v>-25</v>
      </c>
      <c r="F10" s="31">
        <v>-25</v>
      </c>
      <c r="G10" s="31">
        <v>-21</v>
      </c>
      <c r="H10" s="31">
        <v>-28</v>
      </c>
      <c r="I10" s="31">
        <v>-28</v>
      </c>
      <c r="J10" s="32">
        <v>-28</v>
      </c>
    </row>
    <row r="11" spans="1:10" ht="16.8" thickBot="1" x14ac:dyDescent="0.35">
      <c r="A11" s="71"/>
      <c r="B11" s="101"/>
      <c r="C11" s="34">
        <v>-30</v>
      </c>
      <c r="D11" s="34">
        <v>-31</v>
      </c>
      <c r="E11" s="34">
        <v>-33</v>
      </c>
      <c r="F11" s="34">
        <v>-36</v>
      </c>
      <c r="G11" s="34">
        <v>-39</v>
      </c>
      <c r="H11" s="34">
        <v>-55</v>
      </c>
      <c r="I11" s="34">
        <v>-71</v>
      </c>
      <c r="J11" s="35">
        <v>-96</v>
      </c>
    </row>
    <row r="12" spans="1:10" x14ac:dyDescent="0.3">
      <c r="A12" s="70">
        <v>18</v>
      </c>
      <c r="B12" s="100">
        <v>30</v>
      </c>
      <c r="C12" s="31">
        <v>-33.5</v>
      </c>
      <c r="D12" s="31">
        <v>-33</v>
      </c>
      <c r="E12" s="31">
        <v>-32</v>
      </c>
      <c r="F12" s="31">
        <v>-31</v>
      </c>
      <c r="G12" s="31">
        <v>-27</v>
      </c>
      <c r="H12" s="31">
        <v>-35</v>
      </c>
      <c r="I12" s="31">
        <v>-35</v>
      </c>
      <c r="J12" s="32">
        <v>-35</v>
      </c>
    </row>
    <row r="13" spans="1:10" ht="16.8" thickBot="1" x14ac:dyDescent="0.35">
      <c r="A13" s="71"/>
      <c r="B13" s="101"/>
      <c r="C13" s="34">
        <v>-37.5</v>
      </c>
      <c r="D13" s="34">
        <v>-39</v>
      </c>
      <c r="E13" s="34">
        <v>-41</v>
      </c>
      <c r="F13" s="34">
        <v>-44</v>
      </c>
      <c r="G13" s="34">
        <v>-48</v>
      </c>
      <c r="H13" s="34">
        <v>-68</v>
      </c>
      <c r="I13" s="34">
        <v>-87</v>
      </c>
      <c r="J13" s="35">
        <v>-119</v>
      </c>
    </row>
    <row r="14" spans="1:10" x14ac:dyDescent="0.3">
      <c r="A14" s="70">
        <v>30</v>
      </c>
      <c r="B14" s="100">
        <v>50</v>
      </c>
      <c r="C14" s="31">
        <v>-41.5</v>
      </c>
      <c r="D14" s="31">
        <v>-40</v>
      </c>
      <c r="E14" s="31">
        <v>-39</v>
      </c>
      <c r="F14" s="31">
        <v>-38</v>
      </c>
      <c r="G14" s="31">
        <v>-34</v>
      </c>
      <c r="H14" s="31">
        <v>-43</v>
      </c>
      <c r="I14" s="31">
        <v>-43</v>
      </c>
      <c r="J14" s="32">
        <v>-43</v>
      </c>
    </row>
    <row r="15" spans="1:10" ht="16.8" thickBot="1" x14ac:dyDescent="0.35">
      <c r="A15" s="71"/>
      <c r="B15" s="101"/>
      <c r="C15" s="34">
        <v>-45.5</v>
      </c>
      <c r="D15" s="34">
        <v>-47</v>
      </c>
      <c r="E15" s="34">
        <v>-50</v>
      </c>
      <c r="F15" s="34">
        <v>-54</v>
      </c>
      <c r="G15" s="34">
        <v>-59</v>
      </c>
      <c r="H15" s="34">
        <v>-82</v>
      </c>
      <c r="I15" s="34">
        <v>-105</v>
      </c>
      <c r="J15" s="35">
        <v>-143</v>
      </c>
    </row>
    <row r="16" spans="1:10" x14ac:dyDescent="0.3">
      <c r="A16" s="70">
        <v>50</v>
      </c>
      <c r="B16" s="100">
        <v>65</v>
      </c>
      <c r="C16" s="100"/>
      <c r="D16" s="100"/>
      <c r="E16" s="31">
        <v>-48</v>
      </c>
      <c r="F16" s="31">
        <v>-47</v>
      </c>
      <c r="G16" s="31">
        <v>-42</v>
      </c>
      <c r="H16" s="31">
        <v>-53</v>
      </c>
      <c r="I16" s="31">
        <v>-53</v>
      </c>
      <c r="J16" s="63"/>
    </row>
    <row r="17" spans="1:10" ht="16.8" thickBot="1" x14ac:dyDescent="0.35">
      <c r="A17" s="71"/>
      <c r="B17" s="101"/>
      <c r="C17" s="101"/>
      <c r="D17" s="101"/>
      <c r="E17" s="34">
        <v>-61</v>
      </c>
      <c r="F17" s="34">
        <v>-66</v>
      </c>
      <c r="G17" s="34">
        <v>-72</v>
      </c>
      <c r="H17" s="34">
        <v>-99</v>
      </c>
      <c r="I17" s="34">
        <v>-127</v>
      </c>
      <c r="J17" s="64"/>
    </row>
    <row r="18" spans="1:10" x14ac:dyDescent="0.3">
      <c r="A18" s="70">
        <v>65</v>
      </c>
      <c r="B18" s="100">
        <v>80</v>
      </c>
      <c r="C18" s="136"/>
      <c r="D18" s="136"/>
      <c r="E18" s="31">
        <v>-54</v>
      </c>
      <c r="F18" s="31">
        <v>-53</v>
      </c>
      <c r="G18" s="31">
        <v>-48</v>
      </c>
      <c r="H18" s="31">
        <v>-59</v>
      </c>
      <c r="I18" s="31">
        <v>-59</v>
      </c>
      <c r="J18" s="144"/>
    </row>
    <row r="19" spans="1:10" ht="16.8" thickBot="1" x14ac:dyDescent="0.35">
      <c r="A19" s="71"/>
      <c r="B19" s="101"/>
      <c r="C19" s="137"/>
      <c r="D19" s="137"/>
      <c r="E19" s="34">
        <v>-67</v>
      </c>
      <c r="F19" s="34">
        <v>-72</v>
      </c>
      <c r="G19" s="34">
        <v>-78</v>
      </c>
      <c r="H19" s="34">
        <v>-105</v>
      </c>
      <c r="I19" s="34">
        <v>-133</v>
      </c>
      <c r="J19" s="145"/>
    </row>
    <row r="20" spans="1:10" x14ac:dyDescent="0.3">
      <c r="A20" s="70">
        <v>80</v>
      </c>
      <c r="B20" s="100">
        <v>100</v>
      </c>
      <c r="C20" s="136"/>
      <c r="D20" s="136"/>
      <c r="E20" s="31">
        <v>-66</v>
      </c>
      <c r="F20" s="31">
        <v>-64</v>
      </c>
      <c r="G20" s="31">
        <v>-58</v>
      </c>
      <c r="H20" s="31">
        <v>-71</v>
      </c>
      <c r="I20" s="31">
        <v>-71</v>
      </c>
      <c r="J20" s="144"/>
    </row>
    <row r="21" spans="1:10" ht="16.8" thickBot="1" x14ac:dyDescent="0.35">
      <c r="A21" s="71"/>
      <c r="B21" s="101"/>
      <c r="C21" s="137"/>
      <c r="D21" s="137"/>
      <c r="E21" s="34">
        <v>-81</v>
      </c>
      <c r="F21" s="34">
        <v>-86</v>
      </c>
      <c r="G21" s="34">
        <v>-93</v>
      </c>
      <c r="H21" s="34">
        <v>-125</v>
      </c>
      <c r="I21" s="34">
        <v>-158</v>
      </c>
      <c r="J21" s="145"/>
    </row>
    <row r="22" spans="1:10" x14ac:dyDescent="0.3">
      <c r="A22" s="70">
        <v>100</v>
      </c>
      <c r="B22" s="100">
        <v>120</v>
      </c>
      <c r="C22" s="136"/>
      <c r="D22" s="136"/>
      <c r="E22" s="31">
        <v>-74</v>
      </c>
      <c r="F22" s="31">
        <v>-72</v>
      </c>
      <c r="G22" s="31">
        <v>-66</v>
      </c>
      <c r="H22" s="31">
        <v>-79</v>
      </c>
      <c r="I22" s="31">
        <v>-79</v>
      </c>
      <c r="J22" s="144"/>
    </row>
    <row r="23" spans="1:10" ht="16.8" thickBot="1" x14ac:dyDescent="0.35">
      <c r="A23" s="71"/>
      <c r="B23" s="101"/>
      <c r="C23" s="137"/>
      <c r="D23" s="137"/>
      <c r="E23" s="34">
        <v>-89</v>
      </c>
      <c r="F23" s="34">
        <v>-94</v>
      </c>
      <c r="G23" s="34">
        <v>-101</v>
      </c>
      <c r="H23" s="34">
        <v>-133</v>
      </c>
      <c r="I23" s="34">
        <v>-165</v>
      </c>
      <c r="J23" s="145"/>
    </row>
    <row r="24" spans="1:10" x14ac:dyDescent="0.3">
      <c r="A24" s="70">
        <v>120</v>
      </c>
      <c r="B24" s="100">
        <v>140</v>
      </c>
      <c r="C24" s="136"/>
      <c r="D24" s="136"/>
      <c r="E24" s="31">
        <v>-86</v>
      </c>
      <c r="F24" s="31">
        <v>-85</v>
      </c>
      <c r="G24" s="31">
        <v>-77</v>
      </c>
      <c r="H24" s="31">
        <v>-92</v>
      </c>
      <c r="I24" s="31">
        <v>-92</v>
      </c>
      <c r="J24" s="144"/>
    </row>
    <row r="25" spans="1:10" ht="16.8" thickBot="1" x14ac:dyDescent="0.35">
      <c r="A25" s="71"/>
      <c r="B25" s="101"/>
      <c r="C25" s="137"/>
      <c r="D25" s="137"/>
      <c r="E25" s="34">
        <v>-104</v>
      </c>
      <c r="F25" s="34">
        <v>-110</v>
      </c>
      <c r="G25" s="34">
        <v>-117</v>
      </c>
      <c r="H25" s="34">
        <v>-155</v>
      </c>
      <c r="I25" s="34">
        <v>-192</v>
      </c>
      <c r="J25" s="145"/>
    </row>
    <row r="26" spans="1:10" x14ac:dyDescent="0.3">
      <c r="A26" s="70">
        <v>140</v>
      </c>
      <c r="B26" s="100">
        <v>160</v>
      </c>
      <c r="C26" s="136"/>
      <c r="D26" s="136"/>
      <c r="E26" s="31">
        <v>-94</v>
      </c>
      <c r="F26" s="31">
        <v>-93</v>
      </c>
      <c r="G26" s="31">
        <v>-85</v>
      </c>
      <c r="H26" s="31">
        <v>-100</v>
      </c>
      <c r="I26" s="31">
        <v>-100</v>
      </c>
      <c r="J26" s="144"/>
    </row>
    <row r="27" spans="1:10" ht="16.8" thickBot="1" x14ac:dyDescent="0.35">
      <c r="A27" s="71"/>
      <c r="B27" s="101"/>
      <c r="C27" s="137"/>
      <c r="D27" s="137"/>
      <c r="E27" s="34">
        <v>-112</v>
      </c>
      <c r="F27" s="34">
        <v>-118</v>
      </c>
      <c r="G27" s="34">
        <v>-125</v>
      </c>
      <c r="H27" s="34">
        <v>-163</v>
      </c>
      <c r="I27" s="34">
        <v>-200</v>
      </c>
      <c r="J27" s="145"/>
    </row>
    <row r="28" spans="1:10" x14ac:dyDescent="0.3">
      <c r="A28" s="70">
        <v>160</v>
      </c>
      <c r="B28" s="100">
        <v>180</v>
      </c>
      <c r="C28" s="136"/>
      <c r="D28" s="136"/>
      <c r="E28" s="31">
        <v>-102</v>
      </c>
      <c r="F28" s="31">
        <v>-101</v>
      </c>
      <c r="G28" s="31">
        <v>-93</v>
      </c>
      <c r="H28" s="31">
        <v>-108</v>
      </c>
      <c r="I28" s="31">
        <v>-108</v>
      </c>
      <c r="J28" s="144"/>
    </row>
    <row r="29" spans="1:10" ht="16.8" thickBot="1" x14ac:dyDescent="0.35">
      <c r="A29" s="71"/>
      <c r="B29" s="101"/>
      <c r="C29" s="137"/>
      <c r="D29" s="137"/>
      <c r="E29" s="34">
        <v>-120</v>
      </c>
      <c r="F29" s="34">
        <v>-126</v>
      </c>
      <c r="G29" s="34">
        <v>-133</v>
      </c>
      <c r="H29" s="34">
        <v>-171</v>
      </c>
      <c r="I29" s="34">
        <v>-208</v>
      </c>
      <c r="J29" s="145"/>
    </row>
    <row r="30" spans="1:10" x14ac:dyDescent="0.3">
      <c r="A30" s="70">
        <v>180</v>
      </c>
      <c r="B30" s="100">
        <v>200</v>
      </c>
      <c r="C30" s="136"/>
      <c r="D30" s="136"/>
      <c r="E30" s="31">
        <v>-116</v>
      </c>
      <c r="F30" s="31">
        <v>-113</v>
      </c>
      <c r="G30" s="31">
        <v>-105</v>
      </c>
      <c r="H30" s="31">
        <v>-122</v>
      </c>
      <c r="I30" s="31">
        <v>-122</v>
      </c>
      <c r="J30" s="144"/>
    </row>
    <row r="31" spans="1:10" ht="16.8" thickBot="1" x14ac:dyDescent="0.35">
      <c r="A31" s="71"/>
      <c r="B31" s="101"/>
      <c r="C31" s="137"/>
      <c r="D31" s="137"/>
      <c r="E31" s="34">
        <v>-136</v>
      </c>
      <c r="F31" s="34">
        <v>-142</v>
      </c>
      <c r="G31" s="34">
        <v>-151</v>
      </c>
      <c r="H31" s="34">
        <v>-194</v>
      </c>
      <c r="I31" s="34">
        <v>-237</v>
      </c>
      <c r="J31" s="145"/>
    </row>
    <row r="32" spans="1:10" x14ac:dyDescent="0.3">
      <c r="A32" s="70">
        <v>200</v>
      </c>
      <c r="B32" s="100">
        <v>225</v>
      </c>
      <c r="C32" s="136"/>
      <c r="D32" s="136"/>
      <c r="E32" s="31">
        <v>-124</v>
      </c>
      <c r="F32" s="31">
        <v>-121</v>
      </c>
      <c r="G32" s="31">
        <v>-113</v>
      </c>
      <c r="H32" s="31">
        <v>-130</v>
      </c>
      <c r="I32" s="31">
        <v>-130</v>
      </c>
      <c r="J32" s="144"/>
    </row>
    <row r="33" spans="1:10" ht="16.8" thickBot="1" x14ac:dyDescent="0.35">
      <c r="A33" s="71"/>
      <c r="B33" s="101"/>
      <c r="C33" s="137"/>
      <c r="D33" s="137"/>
      <c r="E33" s="34">
        <v>-144</v>
      </c>
      <c r="F33" s="34">
        <v>-150</v>
      </c>
      <c r="G33" s="34">
        <v>-159</v>
      </c>
      <c r="H33" s="34">
        <v>-202</v>
      </c>
      <c r="I33" s="34">
        <v>-245</v>
      </c>
      <c r="J33" s="145"/>
    </row>
    <row r="34" spans="1:10" x14ac:dyDescent="0.3">
      <c r="A34" s="70">
        <v>225</v>
      </c>
      <c r="B34" s="100">
        <v>250</v>
      </c>
      <c r="C34" s="136"/>
      <c r="D34" s="136"/>
      <c r="E34" s="31">
        <v>-134</v>
      </c>
      <c r="F34" s="31">
        <v>-131</v>
      </c>
      <c r="G34" s="31">
        <v>-123</v>
      </c>
      <c r="H34" s="31">
        <v>-140</v>
      </c>
      <c r="I34" s="31">
        <v>-140</v>
      </c>
      <c r="J34" s="144"/>
    </row>
    <row r="35" spans="1:10" ht="16.8" thickBot="1" x14ac:dyDescent="0.35">
      <c r="A35" s="71"/>
      <c r="B35" s="101"/>
      <c r="C35" s="137"/>
      <c r="D35" s="137"/>
      <c r="E35" s="34">
        <v>-154</v>
      </c>
      <c r="F35" s="34">
        <v>-160</v>
      </c>
      <c r="G35" s="34">
        <v>-169</v>
      </c>
      <c r="H35" s="34">
        <v>-212</v>
      </c>
      <c r="I35" s="34">
        <v>-255</v>
      </c>
      <c r="J35" s="145"/>
    </row>
    <row r="36" spans="1:10" x14ac:dyDescent="0.3">
      <c r="A36" s="70">
        <v>250</v>
      </c>
      <c r="B36" s="100">
        <v>280</v>
      </c>
      <c r="C36" s="136"/>
      <c r="D36" s="136"/>
      <c r="E36" s="31">
        <v>-151</v>
      </c>
      <c r="F36" s="31">
        <v>-149</v>
      </c>
      <c r="G36" s="31">
        <v>-138</v>
      </c>
      <c r="H36" s="31">
        <v>-158</v>
      </c>
      <c r="I36" s="31">
        <v>-158</v>
      </c>
      <c r="J36" s="144"/>
    </row>
    <row r="37" spans="1:10" ht="16.8" thickBot="1" x14ac:dyDescent="0.35">
      <c r="A37" s="71"/>
      <c r="B37" s="101"/>
      <c r="C37" s="137"/>
      <c r="D37" s="137"/>
      <c r="E37" s="34">
        <v>-174</v>
      </c>
      <c r="F37" s="34">
        <v>-181</v>
      </c>
      <c r="G37" s="34">
        <v>-190</v>
      </c>
      <c r="H37" s="34">
        <v>-239</v>
      </c>
      <c r="I37" s="34">
        <v>-288</v>
      </c>
      <c r="J37" s="145"/>
    </row>
    <row r="38" spans="1:10" x14ac:dyDescent="0.3">
      <c r="A38" s="70">
        <v>280</v>
      </c>
      <c r="B38" s="100">
        <v>315</v>
      </c>
      <c r="C38" s="136"/>
      <c r="D38" s="136"/>
      <c r="E38" s="31">
        <v>-163</v>
      </c>
      <c r="F38" s="31">
        <v>-161</v>
      </c>
      <c r="G38" s="31">
        <v>-150</v>
      </c>
      <c r="H38" s="31">
        <v>-170</v>
      </c>
      <c r="I38" s="31">
        <v>-170</v>
      </c>
      <c r="J38" s="144"/>
    </row>
    <row r="39" spans="1:10" ht="16.8" thickBot="1" x14ac:dyDescent="0.35">
      <c r="A39" s="71"/>
      <c r="B39" s="101"/>
      <c r="C39" s="137"/>
      <c r="D39" s="137"/>
      <c r="E39" s="34">
        <v>-186</v>
      </c>
      <c r="F39" s="34">
        <v>-193</v>
      </c>
      <c r="G39" s="34">
        <v>-202</v>
      </c>
      <c r="H39" s="34">
        <v>-251</v>
      </c>
      <c r="I39" s="34">
        <v>-300</v>
      </c>
      <c r="J39" s="145"/>
    </row>
    <row r="40" spans="1:10" x14ac:dyDescent="0.3">
      <c r="A40" s="70">
        <v>315</v>
      </c>
      <c r="B40" s="100">
        <v>355</v>
      </c>
      <c r="C40" s="136"/>
      <c r="D40" s="136"/>
      <c r="E40" s="31">
        <v>-183</v>
      </c>
      <c r="F40" s="31">
        <v>-179</v>
      </c>
      <c r="G40" s="31">
        <v>-169</v>
      </c>
      <c r="H40" s="31">
        <v>-190</v>
      </c>
      <c r="I40" s="31">
        <v>-190</v>
      </c>
      <c r="J40" s="144"/>
    </row>
    <row r="41" spans="1:10" ht="16.8" thickBot="1" x14ac:dyDescent="0.35">
      <c r="A41" s="71"/>
      <c r="B41" s="101"/>
      <c r="C41" s="137"/>
      <c r="D41" s="137"/>
      <c r="E41" s="34">
        <v>-208</v>
      </c>
      <c r="F41" s="34">
        <v>-215</v>
      </c>
      <c r="G41" s="34">
        <v>-226</v>
      </c>
      <c r="H41" s="34">
        <v>-279</v>
      </c>
      <c r="I41" s="34">
        <v>-330</v>
      </c>
      <c r="J41" s="145"/>
    </row>
    <row r="42" spans="1:10" x14ac:dyDescent="0.3">
      <c r="A42" s="70">
        <v>355</v>
      </c>
      <c r="B42" s="100">
        <v>400</v>
      </c>
      <c r="C42" s="136"/>
      <c r="D42" s="136"/>
      <c r="E42" s="31">
        <v>-201</v>
      </c>
      <c r="F42" s="31">
        <v>-197</v>
      </c>
      <c r="G42" s="31">
        <v>-187</v>
      </c>
      <c r="H42" s="31">
        <v>-208</v>
      </c>
      <c r="I42" s="31">
        <v>-208</v>
      </c>
      <c r="J42" s="144"/>
    </row>
    <row r="43" spans="1:10" ht="16.8" thickBot="1" x14ac:dyDescent="0.35">
      <c r="A43" s="71"/>
      <c r="B43" s="101"/>
      <c r="C43" s="137"/>
      <c r="D43" s="137"/>
      <c r="E43" s="34">
        <v>-226</v>
      </c>
      <c r="F43" s="34">
        <v>-233</v>
      </c>
      <c r="G43" s="34">
        <v>-244</v>
      </c>
      <c r="H43" s="34">
        <v>-297</v>
      </c>
      <c r="I43" s="34">
        <v>-348</v>
      </c>
      <c r="J43" s="145"/>
    </row>
    <row r="44" spans="1:10" x14ac:dyDescent="0.3">
      <c r="A44" s="70">
        <v>400</v>
      </c>
      <c r="B44" s="100">
        <v>450</v>
      </c>
      <c r="C44" s="136"/>
      <c r="D44" s="136"/>
      <c r="E44" s="31">
        <v>-225</v>
      </c>
      <c r="F44" s="31">
        <v>-219</v>
      </c>
      <c r="G44" s="31">
        <v>-209</v>
      </c>
      <c r="H44" s="31">
        <v>-232</v>
      </c>
      <c r="I44" s="31">
        <v>-232</v>
      </c>
      <c r="J44" s="144"/>
    </row>
    <row r="45" spans="1:10" ht="16.8" thickBot="1" x14ac:dyDescent="0.35">
      <c r="A45" s="71"/>
      <c r="B45" s="101"/>
      <c r="C45" s="137"/>
      <c r="D45" s="137"/>
      <c r="E45" s="34">
        <v>-252</v>
      </c>
      <c r="F45" s="34">
        <v>-259</v>
      </c>
      <c r="G45" s="34">
        <v>-272</v>
      </c>
      <c r="H45" s="34">
        <v>-329</v>
      </c>
      <c r="I45" s="34">
        <v>-387</v>
      </c>
      <c r="J45" s="145"/>
    </row>
    <row r="46" spans="1:10" x14ac:dyDescent="0.3">
      <c r="A46" s="70">
        <v>450</v>
      </c>
      <c r="B46" s="100">
        <v>500</v>
      </c>
      <c r="C46" s="136"/>
      <c r="D46" s="136"/>
      <c r="E46" s="31">
        <v>-245</v>
      </c>
      <c r="F46" s="31">
        <v>-239</v>
      </c>
      <c r="G46" s="31">
        <v>-229</v>
      </c>
      <c r="H46" s="31">
        <v>-252</v>
      </c>
      <c r="I46" s="31">
        <v>-252</v>
      </c>
      <c r="J46" s="144"/>
    </row>
    <row r="47" spans="1:10" ht="16.8" thickBot="1" x14ac:dyDescent="0.35">
      <c r="A47" s="166"/>
      <c r="B47" s="167"/>
      <c r="C47" s="157"/>
      <c r="D47" s="157"/>
      <c r="E47" s="45">
        <v>-272</v>
      </c>
      <c r="F47" s="45">
        <v>-279</v>
      </c>
      <c r="G47" s="45">
        <v>-292</v>
      </c>
      <c r="H47" s="45">
        <v>-349</v>
      </c>
      <c r="I47" s="45">
        <v>-387</v>
      </c>
      <c r="J47" s="154"/>
    </row>
    <row r="48" spans="1:10" ht="16.8" thickTop="1" x14ac:dyDescent="0.3">
      <c r="A48" s="163">
        <v>500</v>
      </c>
      <c r="B48" s="74">
        <v>560</v>
      </c>
      <c r="C48" s="177"/>
      <c r="D48" s="178"/>
      <c r="E48" s="178"/>
      <c r="F48" s="47">
        <v>-280</v>
      </c>
      <c r="G48" s="47">
        <v>-280</v>
      </c>
      <c r="H48" s="47">
        <v>-280</v>
      </c>
      <c r="I48" s="178"/>
      <c r="J48" s="176"/>
    </row>
    <row r="49" spans="1:10" ht="16.8" thickBot="1" x14ac:dyDescent="0.35">
      <c r="A49" s="62"/>
      <c r="B49" s="64"/>
      <c r="C49" s="175"/>
      <c r="D49" s="137"/>
      <c r="E49" s="137"/>
      <c r="F49" s="34">
        <v>-324</v>
      </c>
      <c r="G49" s="34">
        <v>-350</v>
      </c>
      <c r="H49" s="34">
        <v>-390</v>
      </c>
      <c r="I49" s="137"/>
      <c r="J49" s="145"/>
    </row>
    <row r="50" spans="1:10" x14ac:dyDescent="0.3">
      <c r="A50" s="61">
        <v>560</v>
      </c>
      <c r="B50" s="63">
        <v>630</v>
      </c>
      <c r="C50" s="172"/>
      <c r="D50" s="136"/>
      <c r="E50" s="136"/>
      <c r="F50" s="31">
        <v>-310</v>
      </c>
      <c r="G50" s="31">
        <v>-310</v>
      </c>
      <c r="H50" s="31">
        <v>-310</v>
      </c>
      <c r="I50" s="136"/>
      <c r="J50" s="144"/>
    </row>
    <row r="51" spans="1:10" ht="16.8" thickBot="1" x14ac:dyDescent="0.35">
      <c r="A51" s="62"/>
      <c r="B51" s="64"/>
      <c r="C51" s="175"/>
      <c r="D51" s="137"/>
      <c r="E51" s="137"/>
      <c r="F51" s="34">
        <v>-354</v>
      </c>
      <c r="G51" s="34">
        <v>-380</v>
      </c>
      <c r="H51" s="34">
        <v>-420</v>
      </c>
      <c r="I51" s="137"/>
      <c r="J51" s="145"/>
    </row>
    <row r="52" spans="1:10" x14ac:dyDescent="0.3">
      <c r="A52" s="61">
        <v>630</v>
      </c>
      <c r="B52" s="63">
        <v>710</v>
      </c>
      <c r="C52" s="172"/>
      <c r="D52" s="136"/>
      <c r="E52" s="136"/>
      <c r="F52" s="31">
        <v>-340</v>
      </c>
      <c r="G52" s="31">
        <v>-340</v>
      </c>
      <c r="H52" s="31">
        <v>-340</v>
      </c>
      <c r="I52" s="136"/>
      <c r="J52" s="144"/>
    </row>
    <row r="53" spans="1:10" ht="16.8" thickBot="1" x14ac:dyDescent="0.35">
      <c r="A53" s="62"/>
      <c r="B53" s="64"/>
      <c r="C53" s="175"/>
      <c r="D53" s="137"/>
      <c r="E53" s="137"/>
      <c r="F53" s="34">
        <v>-390</v>
      </c>
      <c r="G53" s="34">
        <v>-420</v>
      </c>
      <c r="H53" s="34">
        <v>-465</v>
      </c>
      <c r="I53" s="137"/>
      <c r="J53" s="145"/>
    </row>
    <row r="54" spans="1:10" x14ac:dyDescent="0.3">
      <c r="A54" s="61">
        <v>710</v>
      </c>
      <c r="B54" s="63">
        <v>800</v>
      </c>
      <c r="C54" s="172"/>
      <c r="D54" s="136"/>
      <c r="E54" s="136"/>
      <c r="F54" s="31">
        <v>-380</v>
      </c>
      <c r="G54" s="31">
        <v>-380</v>
      </c>
      <c r="H54" s="31">
        <v>-380</v>
      </c>
      <c r="I54" s="136"/>
      <c r="J54" s="144"/>
    </row>
    <row r="55" spans="1:10" ht="16.8" thickBot="1" x14ac:dyDescent="0.35">
      <c r="A55" s="62"/>
      <c r="B55" s="64"/>
      <c r="C55" s="175"/>
      <c r="D55" s="137"/>
      <c r="E55" s="137"/>
      <c r="F55" s="34">
        <v>-430</v>
      </c>
      <c r="G55" s="34">
        <v>-460</v>
      </c>
      <c r="H55" s="34">
        <v>-505</v>
      </c>
      <c r="I55" s="137"/>
      <c r="J55" s="145"/>
    </row>
    <row r="56" spans="1:10" x14ac:dyDescent="0.3">
      <c r="A56" s="61">
        <v>800</v>
      </c>
      <c r="B56" s="63">
        <v>900</v>
      </c>
      <c r="C56" s="172"/>
      <c r="D56" s="136"/>
      <c r="E56" s="136"/>
      <c r="F56" s="31">
        <v>-430</v>
      </c>
      <c r="G56" s="31">
        <v>-430</v>
      </c>
      <c r="H56" s="31">
        <v>-430</v>
      </c>
      <c r="I56" s="136"/>
      <c r="J56" s="144"/>
    </row>
    <row r="57" spans="1:10" ht="16.8" thickBot="1" x14ac:dyDescent="0.35">
      <c r="A57" s="62"/>
      <c r="B57" s="64"/>
      <c r="C57" s="175"/>
      <c r="D57" s="137"/>
      <c r="E57" s="137"/>
      <c r="F57" s="34">
        <v>-486</v>
      </c>
      <c r="G57" s="34">
        <v>-520</v>
      </c>
      <c r="H57" s="34">
        <v>-570</v>
      </c>
      <c r="I57" s="137"/>
      <c r="J57" s="145"/>
    </row>
    <row r="58" spans="1:10" x14ac:dyDescent="0.3">
      <c r="A58" s="61">
        <v>900</v>
      </c>
      <c r="B58" s="170">
        <v>1000</v>
      </c>
      <c r="C58" s="172"/>
      <c r="D58" s="136"/>
      <c r="E58" s="136"/>
      <c r="F58" s="31">
        <v>-470</v>
      </c>
      <c r="G58" s="31">
        <v>-470</v>
      </c>
      <c r="H58" s="31">
        <v>-470</v>
      </c>
      <c r="I58" s="136"/>
      <c r="J58" s="144"/>
    </row>
    <row r="59" spans="1:10" ht="16.8" thickBot="1" x14ac:dyDescent="0.35">
      <c r="A59" s="62"/>
      <c r="B59" s="174"/>
      <c r="C59" s="175"/>
      <c r="D59" s="137"/>
      <c r="E59" s="137"/>
      <c r="F59" s="34">
        <v>-526</v>
      </c>
      <c r="G59" s="34">
        <v>-560</v>
      </c>
      <c r="H59" s="34">
        <v>-610</v>
      </c>
      <c r="I59" s="137"/>
      <c r="J59" s="145"/>
    </row>
    <row r="60" spans="1:10" x14ac:dyDescent="0.3">
      <c r="A60" s="96">
        <v>1000</v>
      </c>
      <c r="B60" s="170">
        <v>1120</v>
      </c>
      <c r="C60" s="172"/>
      <c r="D60" s="136"/>
      <c r="E60" s="136"/>
      <c r="F60" s="31">
        <v>-520</v>
      </c>
      <c r="G60" s="31">
        <v>-520</v>
      </c>
      <c r="H60" s="31">
        <v>-520</v>
      </c>
      <c r="I60" s="136"/>
      <c r="J60" s="144"/>
    </row>
    <row r="61" spans="1:10" ht="16.8" thickBot="1" x14ac:dyDescent="0.35">
      <c r="A61" s="97"/>
      <c r="B61" s="174"/>
      <c r="C61" s="175"/>
      <c r="D61" s="137"/>
      <c r="E61" s="137"/>
      <c r="F61" s="34">
        <v>-586</v>
      </c>
      <c r="G61" s="34">
        <v>-625</v>
      </c>
      <c r="H61" s="34">
        <v>-685</v>
      </c>
      <c r="I61" s="137"/>
      <c r="J61" s="145"/>
    </row>
    <row r="62" spans="1:10" x14ac:dyDescent="0.3">
      <c r="A62" s="96">
        <v>1120</v>
      </c>
      <c r="B62" s="170">
        <v>1250</v>
      </c>
      <c r="C62" s="172"/>
      <c r="D62" s="136"/>
      <c r="E62" s="136"/>
      <c r="F62" s="31">
        <v>-580</v>
      </c>
      <c r="G62" s="31">
        <v>-580</v>
      </c>
      <c r="H62" s="31">
        <v>-580</v>
      </c>
      <c r="I62" s="136"/>
      <c r="J62" s="144"/>
    </row>
    <row r="63" spans="1:10" ht="16.8" thickBot="1" x14ac:dyDescent="0.35">
      <c r="A63" s="97"/>
      <c r="B63" s="174"/>
      <c r="C63" s="175"/>
      <c r="D63" s="137"/>
      <c r="E63" s="137"/>
      <c r="F63" s="34">
        <v>-646</v>
      </c>
      <c r="G63" s="34">
        <v>-685</v>
      </c>
      <c r="H63" s="34">
        <v>-745</v>
      </c>
      <c r="I63" s="137"/>
      <c r="J63" s="145"/>
    </row>
    <row r="64" spans="1:10" x14ac:dyDescent="0.3">
      <c r="A64" s="96">
        <v>1250</v>
      </c>
      <c r="B64" s="170">
        <v>1400</v>
      </c>
      <c r="C64" s="172"/>
      <c r="D64" s="136"/>
      <c r="E64" s="136"/>
      <c r="F64" s="31">
        <v>-640</v>
      </c>
      <c r="G64" s="31">
        <v>-640</v>
      </c>
      <c r="H64" s="31">
        <v>-640</v>
      </c>
      <c r="I64" s="136"/>
      <c r="J64" s="144"/>
    </row>
    <row r="65" spans="1:10" ht="16.8" thickBot="1" x14ac:dyDescent="0.35">
      <c r="A65" s="97"/>
      <c r="B65" s="174"/>
      <c r="C65" s="175"/>
      <c r="D65" s="137"/>
      <c r="E65" s="137"/>
      <c r="F65" s="34">
        <v>-718</v>
      </c>
      <c r="G65" s="34">
        <v>-765</v>
      </c>
      <c r="H65" s="34">
        <v>-835</v>
      </c>
      <c r="I65" s="137"/>
      <c r="J65" s="145"/>
    </row>
    <row r="66" spans="1:10" x14ac:dyDescent="0.3">
      <c r="A66" s="96">
        <v>1400</v>
      </c>
      <c r="B66" s="170">
        <v>1600</v>
      </c>
      <c r="C66" s="172"/>
      <c r="D66" s="136"/>
      <c r="E66" s="136"/>
      <c r="F66" s="31">
        <v>-720</v>
      </c>
      <c r="G66" s="31">
        <v>-720</v>
      </c>
      <c r="H66" s="31">
        <v>-720</v>
      </c>
      <c r="I66" s="136"/>
      <c r="J66" s="144"/>
    </row>
    <row r="67" spans="1:10" ht="16.8" thickBot="1" x14ac:dyDescent="0.35">
      <c r="A67" s="97"/>
      <c r="B67" s="174"/>
      <c r="C67" s="175"/>
      <c r="D67" s="137"/>
      <c r="E67" s="137"/>
      <c r="F67" s="34">
        <v>-798</v>
      </c>
      <c r="G67" s="34">
        <v>-845</v>
      </c>
      <c r="H67" s="34">
        <v>-915</v>
      </c>
      <c r="I67" s="137"/>
      <c r="J67" s="145"/>
    </row>
    <row r="68" spans="1:10" x14ac:dyDescent="0.3">
      <c r="A68" s="96">
        <v>1600</v>
      </c>
      <c r="B68" s="170">
        <v>1800</v>
      </c>
      <c r="C68" s="172"/>
      <c r="D68" s="136"/>
      <c r="E68" s="136"/>
      <c r="F68" s="31">
        <v>-820</v>
      </c>
      <c r="G68" s="31">
        <v>-820</v>
      </c>
      <c r="H68" s="31">
        <v>-820</v>
      </c>
      <c r="I68" s="136"/>
      <c r="J68" s="144"/>
    </row>
    <row r="69" spans="1:10" ht="16.8" thickBot="1" x14ac:dyDescent="0.35">
      <c r="A69" s="97"/>
      <c r="B69" s="174"/>
      <c r="C69" s="175"/>
      <c r="D69" s="137"/>
      <c r="E69" s="137"/>
      <c r="F69" s="34">
        <v>-912</v>
      </c>
      <c r="G69" s="34">
        <v>-970</v>
      </c>
      <c r="H69" s="56">
        <v>-1050</v>
      </c>
      <c r="I69" s="137"/>
      <c r="J69" s="145"/>
    </row>
    <row r="70" spans="1:10" x14ac:dyDescent="0.3">
      <c r="A70" s="96">
        <v>1800</v>
      </c>
      <c r="B70" s="170">
        <v>2000</v>
      </c>
      <c r="C70" s="172"/>
      <c r="D70" s="136"/>
      <c r="E70" s="136"/>
      <c r="F70" s="31">
        <v>-920</v>
      </c>
      <c r="G70" s="31">
        <v>-920</v>
      </c>
      <c r="H70" s="31">
        <v>-920</v>
      </c>
      <c r="I70" s="136"/>
      <c r="J70" s="144"/>
    </row>
    <row r="71" spans="1:10" ht="16.8" thickBot="1" x14ac:dyDescent="0.35">
      <c r="A71" s="97"/>
      <c r="B71" s="174"/>
      <c r="C71" s="175"/>
      <c r="D71" s="137"/>
      <c r="E71" s="137"/>
      <c r="F71" s="56">
        <v>-1012</v>
      </c>
      <c r="G71" s="56">
        <v>-1070</v>
      </c>
      <c r="H71" s="56">
        <v>-1150</v>
      </c>
      <c r="I71" s="137"/>
      <c r="J71" s="145"/>
    </row>
    <row r="72" spans="1:10" x14ac:dyDescent="0.3">
      <c r="A72" s="96">
        <v>2000</v>
      </c>
      <c r="B72" s="170">
        <v>2240</v>
      </c>
      <c r="C72" s="172"/>
      <c r="D72" s="136"/>
      <c r="E72" s="136"/>
      <c r="F72" s="38">
        <v>-1000</v>
      </c>
      <c r="G72" s="38">
        <v>-1000</v>
      </c>
      <c r="H72" s="38">
        <v>-1000</v>
      </c>
      <c r="I72" s="136"/>
      <c r="J72" s="144"/>
    </row>
    <row r="73" spans="1:10" ht="16.8" thickBot="1" x14ac:dyDescent="0.35">
      <c r="A73" s="97"/>
      <c r="B73" s="174"/>
      <c r="C73" s="175"/>
      <c r="D73" s="137"/>
      <c r="E73" s="137"/>
      <c r="F73" s="56">
        <v>-1110</v>
      </c>
      <c r="G73" s="56">
        <v>-1175</v>
      </c>
      <c r="H73" s="56">
        <v>-1280</v>
      </c>
      <c r="I73" s="137"/>
      <c r="J73" s="145"/>
    </row>
    <row r="74" spans="1:10" x14ac:dyDescent="0.3">
      <c r="A74" s="96">
        <v>2240</v>
      </c>
      <c r="B74" s="170">
        <v>2500</v>
      </c>
      <c r="C74" s="172"/>
      <c r="D74" s="136"/>
      <c r="E74" s="136"/>
      <c r="F74" s="38">
        <v>-1100</v>
      </c>
      <c r="G74" s="38">
        <v>-1100</v>
      </c>
      <c r="H74" s="38">
        <v>-1100</v>
      </c>
      <c r="I74" s="136"/>
      <c r="J74" s="144"/>
    </row>
    <row r="75" spans="1:10" ht="16.8" thickBot="1" x14ac:dyDescent="0.35">
      <c r="A75" s="97"/>
      <c r="B75" s="174"/>
      <c r="C75" s="175"/>
      <c r="D75" s="137"/>
      <c r="E75" s="137"/>
      <c r="F75" s="56">
        <v>-1210</v>
      </c>
      <c r="G75" s="56">
        <v>-1275</v>
      </c>
      <c r="H75" s="56">
        <v>-1380</v>
      </c>
      <c r="I75" s="137"/>
      <c r="J75" s="145"/>
    </row>
    <row r="76" spans="1:10" x14ac:dyDescent="0.3">
      <c r="A76" s="96">
        <v>2500</v>
      </c>
      <c r="B76" s="170">
        <v>2800</v>
      </c>
      <c r="C76" s="172"/>
      <c r="D76" s="136"/>
      <c r="E76" s="136"/>
      <c r="F76" s="38">
        <v>-1250</v>
      </c>
      <c r="G76" s="38">
        <v>-1250</v>
      </c>
      <c r="H76" s="38">
        <v>-1250</v>
      </c>
      <c r="I76" s="136"/>
      <c r="J76" s="144"/>
    </row>
    <row r="77" spans="1:10" ht="16.8" thickBot="1" x14ac:dyDescent="0.35">
      <c r="A77" s="97"/>
      <c r="B77" s="174"/>
      <c r="C77" s="175"/>
      <c r="D77" s="137"/>
      <c r="E77" s="137"/>
      <c r="F77" s="56">
        <v>-1385</v>
      </c>
      <c r="G77" s="56">
        <v>-1460</v>
      </c>
      <c r="H77" s="56">
        <v>-1580</v>
      </c>
      <c r="I77" s="137"/>
      <c r="J77" s="145"/>
    </row>
    <row r="78" spans="1:10" x14ac:dyDescent="0.3">
      <c r="A78" s="96">
        <v>2800</v>
      </c>
      <c r="B78" s="170">
        <v>3150</v>
      </c>
      <c r="C78" s="172"/>
      <c r="D78" s="136"/>
      <c r="E78" s="136"/>
      <c r="F78" s="38">
        <v>-1400</v>
      </c>
      <c r="G78" s="38">
        <v>-1400</v>
      </c>
      <c r="H78" s="38">
        <v>-1400</v>
      </c>
      <c r="I78" s="136"/>
      <c r="J78" s="144"/>
    </row>
    <row r="79" spans="1:10" ht="16.8" thickBot="1" x14ac:dyDescent="0.35">
      <c r="A79" s="155"/>
      <c r="B79" s="171"/>
      <c r="C79" s="173"/>
      <c r="D79" s="157"/>
      <c r="E79" s="157"/>
      <c r="F79" s="59">
        <v>-1535</v>
      </c>
      <c r="G79" s="59">
        <v>-1610</v>
      </c>
      <c r="H79" s="59">
        <v>-1730</v>
      </c>
      <c r="I79" s="157"/>
      <c r="J79" s="154"/>
    </row>
    <row r="80" spans="1:10" ht="16.8" thickTop="1" x14ac:dyDescent="0.3"/>
  </sheetData>
  <mergeCells count="207">
    <mergeCell ref="A8:A9"/>
    <mergeCell ref="B8:B9"/>
    <mergeCell ref="A10:A11"/>
    <mergeCell ref="B10:B11"/>
    <mergeCell ref="A12:A13"/>
    <mergeCell ref="B12:B13"/>
    <mergeCell ref="A1:B1"/>
    <mergeCell ref="A2:B2"/>
    <mergeCell ref="C1:J2"/>
    <mergeCell ref="A4:A5"/>
    <mergeCell ref="B4:B5"/>
    <mergeCell ref="A6:A7"/>
    <mergeCell ref="B6:B7"/>
    <mergeCell ref="J16:J17"/>
    <mergeCell ref="A18:A19"/>
    <mergeCell ref="B18:B19"/>
    <mergeCell ref="C18:C19"/>
    <mergeCell ref="D18:D19"/>
    <mergeCell ref="J18:J19"/>
    <mergeCell ref="A14:A15"/>
    <mergeCell ref="B14:B15"/>
    <mergeCell ref="A16:A17"/>
    <mergeCell ref="B16:B17"/>
    <mergeCell ref="C16:C17"/>
    <mergeCell ref="D16:D17"/>
    <mergeCell ref="A20:A21"/>
    <mergeCell ref="B20:B21"/>
    <mergeCell ref="C20:C21"/>
    <mergeCell ref="D20:D21"/>
    <mergeCell ref="J20:J21"/>
    <mergeCell ref="A22:A23"/>
    <mergeCell ref="B22:B23"/>
    <mergeCell ref="C22:C23"/>
    <mergeCell ref="D22:D23"/>
    <mergeCell ref="J22:J23"/>
    <mergeCell ref="A24:A25"/>
    <mergeCell ref="B24:B25"/>
    <mergeCell ref="C24:C25"/>
    <mergeCell ref="D24:D25"/>
    <mergeCell ref="J24:J25"/>
    <mergeCell ref="A26:A27"/>
    <mergeCell ref="B26:B27"/>
    <mergeCell ref="C26:C27"/>
    <mergeCell ref="D26:D27"/>
    <mergeCell ref="J26:J27"/>
    <mergeCell ref="A28:A29"/>
    <mergeCell ref="B28:B29"/>
    <mergeCell ref="C28:C29"/>
    <mergeCell ref="D28:D29"/>
    <mergeCell ref="J28:J29"/>
    <mergeCell ref="A30:A31"/>
    <mergeCell ref="B30:B31"/>
    <mergeCell ref="C30:C31"/>
    <mergeCell ref="D30:D31"/>
    <mergeCell ref="J30:J31"/>
    <mergeCell ref="A32:A33"/>
    <mergeCell ref="B32:B33"/>
    <mergeCell ref="C32:C33"/>
    <mergeCell ref="D32:D33"/>
    <mergeCell ref="J32:J33"/>
    <mergeCell ref="A34:A35"/>
    <mergeCell ref="B34:B35"/>
    <mergeCell ref="C34:C35"/>
    <mergeCell ref="D34:D35"/>
    <mergeCell ref="J34:J35"/>
    <mergeCell ref="A36:A37"/>
    <mergeCell ref="B36:B37"/>
    <mergeCell ref="C36:C37"/>
    <mergeCell ref="D36:D37"/>
    <mergeCell ref="J36:J37"/>
    <mergeCell ref="A38:A39"/>
    <mergeCell ref="B38:B39"/>
    <mergeCell ref="C38:C39"/>
    <mergeCell ref="D38:D39"/>
    <mergeCell ref="J38:J39"/>
    <mergeCell ref="A40:A41"/>
    <mergeCell ref="B40:B41"/>
    <mergeCell ref="C40:C41"/>
    <mergeCell ref="D40:D41"/>
    <mergeCell ref="J40:J41"/>
    <mergeCell ref="A42:A43"/>
    <mergeCell ref="B42:B43"/>
    <mergeCell ref="C42:C43"/>
    <mergeCell ref="D42:D43"/>
    <mergeCell ref="J42:J43"/>
    <mergeCell ref="A44:A45"/>
    <mergeCell ref="B44:B45"/>
    <mergeCell ref="C44:C45"/>
    <mergeCell ref="D44:D45"/>
    <mergeCell ref="J44:J45"/>
    <mergeCell ref="A46:A47"/>
    <mergeCell ref="B46:B47"/>
    <mergeCell ref="C46:C47"/>
    <mergeCell ref="D46:D47"/>
    <mergeCell ref="J46:J47"/>
    <mergeCell ref="J48:J49"/>
    <mergeCell ref="A50:A51"/>
    <mergeCell ref="B50:B51"/>
    <mergeCell ref="C50:C51"/>
    <mergeCell ref="D50:D51"/>
    <mergeCell ref="E50:E51"/>
    <mergeCell ref="I50:I51"/>
    <mergeCell ref="J50:J51"/>
    <mergeCell ref="A48:A49"/>
    <mergeCell ref="B48:B49"/>
    <mergeCell ref="C48:C49"/>
    <mergeCell ref="D48:D49"/>
    <mergeCell ref="E48:E49"/>
    <mergeCell ref="I48:I49"/>
    <mergeCell ref="J52:J53"/>
    <mergeCell ref="A54:A55"/>
    <mergeCell ref="B54:B55"/>
    <mergeCell ref="C54:C55"/>
    <mergeCell ref="D54:D55"/>
    <mergeCell ref="E54:E55"/>
    <mergeCell ref="I54:I55"/>
    <mergeCell ref="J54:J55"/>
    <mergeCell ref="A52:A53"/>
    <mergeCell ref="B52:B53"/>
    <mergeCell ref="C52:C53"/>
    <mergeCell ref="D52:D53"/>
    <mergeCell ref="E52:E53"/>
    <mergeCell ref="I52:I53"/>
    <mergeCell ref="J56:J57"/>
    <mergeCell ref="A58:A59"/>
    <mergeCell ref="B58:B59"/>
    <mergeCell ref="C58:C59"/>
    <mergeCell ref="D58:D59"/>
    <mergeCell ref="E58:E59"/>
    <mergeCell ref="I58:I59"/>
    <mergeCell ref="J58:J59"/>
    <mergeCell ref="A56:A57"/>
    <mergeCell ref="B56:B57"/>
    <mergeCell ref="C56:C57"/>
    <mergeCell ref="D56:D57"/>
    <mergeCell ref="E56:E57"/>
    <mergeCell ref="I56:I57"/>
    <mergeCell ref="J60:J61"/>
    <mergeCell ref="A62:A63"/>
    <mergeCell ref="B62:B63"/>
    <mergeCell ref="C62:C63"/>
    <mergeCell ref="D62:D63"/>
    <mergeCell ref="E62:E63"/>
    <mergeCell ref="I62:I63"/>
    <mergeCell ref="J62:J63"/>
    <mergeCell ref="A60:A61"/>
    <mergeCell ref="B60:B61"/>
    <mergeCell ref="C60:C61"/>
    <mergeCell ref="D60:D61"/>
    <mergeCell ref="E60:E61"/>
    <mergeCell ref="I60:I61"/>
    <mergeCell ref="J64:J65"/>
    <mergeCell ref="A66:A67"/>
    <mergeCell ref="B66:B67"/>
    <mergeCell ref="C66:C67"/>
    <mergeCell ref="D66:D67"/>
    <mergeCell ref="E66:E67"/>
    <mergeCell ref="I66:I67"/>
    <mergeCell ref="J66:J67"/>
    <mergeCell ref="A64:A65"/>
    <mergeCell ref="B64:B65"/>
    <mergeCell ref="C64:C65"/>
    <mergeCell ref="D64:D65"/>
    <mergeCell ref="E64:E65"/>
    <mergeCell ref="I64:I65"/>
    <mergeCell ref="J68:J69"/>
    <mergeCell ref="A70:A71"/>
    <mergeCell ref="B70:B71"/>
    <mergeCell ref="C70:C71"/>
    <mergeCell ref="D70:D71"/>
    <mergeCell ref="E70:E71"/>
    <mergeCell ref="I70:I71"/>
    <mergeCell ref="J70:J71"/>
    <mergeCell ref="A68:A69"/>
    <mergeCell ref="B68:B69"/>
    <mergeCell ref="C68:C69"/>
    <mergeCell ref="D68:D69"/>
    <mergeCell ref="E68:E69"/>
    <mergeCell ref="I68:I69"/>
    <mergeCell ref="J72:J73"/>
    <mergeCell ref="A74:A75"/>
    <mergeCell ref="B74:B75"/>
    <mergeCell ref="C74:C75"/>
    <mergeCell ref="D74:D75"/>
    <mergeCell ref="E74:E75"/>
    <mergeCell ref="I74:I75"/>
    <mergeCell ref="J74:J75"/>
    <mergeCell ref="A72:A73"/>
    <mergeCell ref="B72:B73"/>
    <mergeCell ref="C72:C73"/>
    <mergeCell ref="D72:D73"/>
    <mergeCell ref="E72:E73"/>
    <mergeCell ref="I72:I73"/>
    <mergeCell ref="J76:J77"/>
    <mergeCell ref="A78:A79"/>
    <mergeCell ref="B78:B79"/>
    <mergeCell ref="C78:C79"/>
    <mergeCell ref="D78:D79"/>
    <mergeCell ref="E78:E79"/>
    <mergeCell ref="I78:I79"/>
    <mergeCell ref="J78:J79"/>
    <mergeCell ref="A76:A77"/>
    <mergeCell ref="B76:B77"/>
    <mergeCell ref="C76:C77"/>
    <mergeCell ref="D76:D77"/>
    <mergeCell ref="E76:E77"/>
    <mergeCell ref="I76:I7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AB6A3-A8A3-4832-9002-4E5731FB72C2}">
  <dimension ref="A1:L85"/>
  <sheetViews>
    <sheetView tabSelected="1" workbookViewId="0">
      <selection activeCell="C4" sqref="C4"/>
    </sheetView>
  </sheetViews>
  <sheetFormatPr defaultRowHeight="16.2" x14ac:dyDescent="0.3"/>
  <sheetData>
    <row r="1" spans="1:12" ht="16.8" thickTop="1" x14ac:dyDescent="0.3">
      <c r="A1" s="102" t="s">
        <v>6</v>
      </c>
      <c r="B1" s="103"/>
      <c r="C1" s="92" t="s">
        <v>65</v>
      </c>
      <c r="D1" s="78"/>
      <c r="E1" s="78"/>
      <c r="F1" s="93"/>
      <c r="G1" s="92" t="s">
        <v>52</v>
      </c>
      <c r="H1" s="78"/>
      <c r="I1" s="78"/>
      <c r="J1" s="78"/>
      <c r="K1" s="78"/>
      <c r="L1" s="79"/>
    </row>
    <row r="2" spans="1:12" ht="16.8" thickBot="1" x14ac:dyDescent="0.35">
      <c r="A2" s="85" t="s">
        <v>1</v>
      </c>
      <c r="B2" s="104"/>
      <c r="C2" s="94"/>
      <c r="D2" s="81"/>
      <c r="E2" s="81"/>
      <c r="F2" s="95"/>
      <c r="G2" s="94"/>
      <c r="H2" s="81"/>
      <c r="I2" s="81"/>
      <c r="J2" s="81"/>
      <c r="K2" s="81"/>
      <c r="L2" s="82"/>
    </row>
    <row r="3" spans="1:12" ht="16.8" thickBot="1" x14ac:dyDescent="0.35">
      <c r="A3" s="39" t="s">
        <v>3</v>
      </c>
      <c r="B3" s="22" t="s">
        <v>4</v>
      </c>
      <c r="C3" s="20">
        <v>5</v>
      </c>
      <c r="D3" s="20">
        <v>6</v>
      </c>
      <c r="E3" s="20">
        <v>7</v>
      </c>
      <c r="F3" s="20">
        <v>8</v>
      </c>
      <c r="G3" s="20">
        <v>5</v>
      </c>
      <c r="H3" s="20">
        <v>6</v>
      </c>
      <c r="I3" s="20">
        <v>7</v>
      </c>
      <c r="J3" s="20">
        <v>8</v>
      </c>
      <c r="K3" s="20">
        <v>9</v>
      </c>
      <c r="L3" s="28">
        <v>10</v>
      </c>
    </row>
    <row r="4" spans="1:12" x14ac:dyDescent="0.3">
      <c r="A4" s="179" t="s">
        <v>5</v>
      </c>
      <c r="B4" s="100">
        <v>3</v>
      </c>
      <c r="C4" s="31">
        <v>-18</v>
      </c>
      <c r="D4" s="31">
        <v>-18</v>
      </c>
      <c r="E4" s="31">
        <v>-18</v>
      </c>
      <c r="F4" s="31">
        <v>-18</v>
      </c>
      <c r="G4" s="31">
        <v>-18</v>
      </c>
      <c r="H4" s="31">
        <v>-18</v>
      </c>
      <c r="I4" s="31">
        <v>-18</v>
      </c>
      <c r="J4" s="31">
        <v>-18</v>
      </c>
      <c r="K4" s="31">
        <v>-18</v>
      </c>
      <c r="L4" s="32">
        <v>-18</v>
      </c>
    </row>
    <row r="5" spans="1:12" ht="16.8" thickBot="1" x14ac:dyDescent="0.35">
      <c r="A5" s="180"/>
      <c r="B5" s="101"/>
      <c r="C5" s="34">
        <v>-22</v>
      </c>
      <c r="D5" s="34">
        <v>-24</v>
      </c>
      <c r="E5" s="34">
        <v>-28</v>
      </c>
      <c r="F5" s="34">
        <v>-32</v>
      </c>
      <c r="G5" s="34">
        <v>-22</v>
      </c>
      <c r="H5" s="34">
        <v>-24</v>
      </c>
      <c r="I5" s="34">
        <v>-28</v>
      </c>
      <c r="J5" s="34">
        <v>-32</v>
      </c>
      <c r="K5" s="34">
        <v>-43</v>
      </c>
      <c r="L5" s="35">
        <v>-58</v>
      </c>
    </row>
    <row r="6" spans="1:12" x14ac:dyDescent="0.3">
      <c r="A6" s="70">
        <v>3</v>
      </c>
      <c r="B6" s="100">
        <v>6</v>
      </c>
      <c r="C6" s="31">
        <v>-22</v>
      </c>
      <c r="D6" s="31">
        <v>-20</v>
      </c>
      <c r="E6" s="31">
        <v>-19</v>
      </c>
      <c r="F6" s="31">
        <v>-23</v>
      </c>
      <c r="G6" s="31">
        <v>-22</v>
      </c>
      <c r="H6" s="31">
        <v>-20</v>
      </c>
      <c r="I6" s="31">
        <v>-19</v>
      </c>
      <c r="J6" s="31">
        <v>-23</v>
      </c>
      <c r="K6" s="31">
        <v>-23</v>
      </c>
      <c r="L6" s="32">
        <v>-23</v>
      </c>
    </row>
    <row r="7" spans="1:12" ht="16.8" thickBot="1" x14ac:dyDescent="0.35">
      <c r="A7" s="71"/>
      <c r="B7" s="101"/>
      <c r="C7" s="34">
        <v>-27</v>
      </c>
      <c r="D7" s="34">
        <v>-28</v>
      </c>
      <c r="E7" s="34">
        <v>-31</v>
      </c>
      <c r="F7" s="34">
        <v>-41</v>
      </c>
      <c r="G7" s="34">
        <v>-27</v>
      </c>
      <c r="H7" s="34">
        <v>-28</v>
      </c>
      <c r="I7" s="34">
        <v>-31</v>
      </c>
      <c r="J7" s="34">
        <v>-41</v>
      </c>
      <c r="K7" s="34">
        <v>-53</v>
      </c>
      <c r="L7" s="35">
        <v>-71</v>
      </c>
    </row>
    <row r="8" spans="1:12" x14ac:dyDescent="0.3">
      <c r="A8" s="70">
        <v>6</v>
      </c>
      <c r="B8" s="100">
        <v>10</v>
      </c>
      <c r="C8" s="31">
        <v>-26</v>
      </c>
      <c r="D8" s="31">
        <v>-25</v>
      </c>
      <c r="E8" s="31">
        <v>-22</v>
      </c>
      <c r="F8" s="31">
        <v>-28</v>
      </c>
      <c r="G8" s="31">
        <v>-26</v>
      </c>
      <c r="H8" s="31">
        <v>-25</v>
      </c>
      <c r="I8" s="31">
        <v>-22</v>
      </c>
      <c r="J8" s="31">
        <v>-28</v>
      </c>
      <c r="K8" s="31">
        <v>-28</v>
      </c>
      <c r="L8" s="32">
        <v>-28</v>
      </c>
    </row>
    <row r="9" spans="1:12" ht="16.8" thickBot="1" x14ac:dyDescent="0.35">
      <c r="A9" s="71"/>
      <c r="B9" s="101"/>
      <c r="C9" s="34">
        <v>-32</v>
      </c>
      <c r="D9" s="34">
        <v>-34</v>
      </c>
      <c r="E9" s="34">
        <v>-37</v>
      </c>
      <c r="F9" s="34">
        <v>-50</v>
      </c>
      <c r="G9" s="34">
        <v>-32</v>
      </c>
      <c r="H9" s="34">
        <v>-34</v>
      </c>
      <c r="I9" s="34">
        <v>-37</v>
      </c>
      <c r="J9" s="34">
        <v>-50</v>
      </c>
      <c r="K9" s="34">
        <v>-64</v>
      </c>
      <c r="L9" s="35">
        <v>-86</v>
      </c>
    </row>
    <row r="10" spans="1:12" x14ac:dyDescent="0.3">
      <c r="A10" s="70">
        <v>10</v>
      </c>
      <c r="B10" s="100">
        <v>18</v>
      </c>
      <c r="C10" s="31">
        <v>-30</v>
      </c>
      <c r="D10" s="31">
        <v>-30</v>
      </c>
      <c r="E10" s="31">
        <v>-26</v>
      </c>
      <c r="F10" s="31">
        <v>-33</v>
      </c>
      <c r="G10" s="31">
        <v>-30</v>
      </c>
      <c r="H10" s="31">
        <v>-30</v>
      </c>
      <c r="I10" s="31">
        <v>-26</v>
      </c>
      <c r="J10" s="31">
        <v>-33</v>
      </c>
      <c r="K10" s="31">
        <v>-33</v>
      </c>
      <c r="L10" s="32">
        <v>-33</v>
      </c>
    </row>
    <row r="11" spans="1:12" ht="16.8" thickBot="1" x14ac:dyDescent="0.35">
      <c r="A11" s="71"/>
      <c r="B11" s="101"/>
      <c r="C11" s="34">
        <v>-38</v>
      </c>
      <c r="D11" s="34">
        <v>-41</v>
      </c>
      <c r="E11" s="34">
        <v>-44</v>
      </c>
      <c r="F11" s="34">
        <v>-60</v>
      </c>
      <c r="G11" s="34">
        <v>-38</v>
      </c>
      <c r="H11" s="34">
        <v>-41</v>
      </c>
      <c r="I11" s="34">
        <v>-44</v>
      </c>
      <c r="J11" s="34">
        <v>-60</v>
      </c>
      <c r="K11" s="34">
        <v>-76</v>
      </c>
      <c r="L11" s="35">
        <v>-103</v>
      </c>
    </row>
    <row r="12" spans="1:12" x14ac:dyDescent="0.3">
      <c r="A12" s="70">
        <v>18</v>
      </c>
      <c r="B12" s="100">
        <v>24</v>
      </c>
      <c r="C12" s="31">
        <v>-38</v>
      </c>
      <c r="D12" s="31">
        <v>-37</v>
      </c>
      <c r="E12" s="31">
        <v>-33</v>
      </c>
      <c r="F12" s="31">
        <v>-41</v>
      </c>
      <c r="G12" s="31">
        <v>-38</v>
      </c>
      <c r="H12" s="31">
        <v>-37</v>
      </c>
      <c r="I12" s="31">
        <v>-33</v>
      </c>
      <c r="J12" s="31">
        <v>-41</v>
      </c>
      <c r="K12" s="31">
        <v>-41</v>
      </c>
      <c r="L12" s="32">
        <v>-41</v>
      </c>
    </row>
    <row r="13" spans="1:12" ht="16.8" thickBot="1" x14ac:dyDescent="0.35">
      <c r="A13" s="71"/>
      <c r="B13" s="101"/>
      <c r="C13" s="34">
        <v>-47</v>
      </c>
      <c r="D13" s="34">
        <v>-50</v>
      </c>
      <c r="E13" s="34">
        <v>-54</v>
      </c>
      <c r="F13" s="34">
        <v>-74</v>
      </c>
      <c r="G13" s="34">
        <v>-47</v>
      </c>
      <c r="H13" s="34">
        <v>-50</v>
      </c>
      <c r="I13" s="34">
        <v>-54</v>
      </c>
      <c r="J13" s="34">
        <v>-74</v>
      </c>
      <c r="K13" s="34">
        <v>-93</v>
      </c>
      <c r="L13" s="35">
        <v>-125</v>
      </c>
    </row>
    <row r="14" spans="1:12" x14ac:dyDescent="0.3">
      <c r="A14" s="70">
        <v>24</v>
      </c>
      <c r="B14" s="100">
        <v>30</v>
      </c>
      <c r="C14" s="31">
        <v>-38</v>
      </c>
      <c r="D14" s="31">
        <v>-37</v>
      </c>
      <c r="E14" s="31">
        <v>-33</v>
      </c>
      <c r="F14" s="31">
        <v>-41</v>
      </c>
      <c r="G14" s="31">
        <v>-45</v>
      </c>
      <c r="H14" s="31">
        <v>-44</v>
      </c>
      <c r="I14" s="31">
        <v>-40</v>
      </c>
      <c r="J14" s="31">
        <v>-48</v>
      </c>
      <c r="K14" s="31">
        <v>-48</v>
      </c>
      <c r="L14" s="32">
        <v>-48</v>
      </c>
    </row>
    <row r="15" spans="1:12" ht="16.8" thickBot="1" x14ac:dyDescent="0.35">
      <c r="A15" s="71"/>
      <c r="B15" s="101"/>
      <c r="C15" s="34">
        <v>-47</v>
      </c>
      <c r="D15" s="34">
        <v>-50</v>
      </c>
      <c r="E15" s="34">
        <v>-54</v>
      </c>
      <c r="F15" s="34">
        <v>-74</v>
      </c>
      <c r="G15" s="34">
        <v>-54</v>
      </c>
      <c r="H15" s="34">
        <v>-57</v>
      </c>
      <c r="I15" s="34">
        <v>-61</v>
      </c>
      <c r="J15" s="34">
        <v>-81</v>
      </c>
      <c r="K15" s="34">
        <v>-100</v>
      </c>
      <c r="L15" s="35">
        <v>-132</v>
      </c>
    </row>
    <row r="16" spans="1:12" x14ac:dyDescent="0.3">
      <c r="A16" s="70">
        <v>30</v>
      </c>
      <c r="B16" s="100">
        <v>40</v>
      </c>
      <c r="C16" s="31">
        <v>-44</v>
      </c>
      <c r="D16" s="31">
        <v>-43</v>
      </c>
      <c r="E16" s="31">
        <v>-39</v>
      </c>
      <c r="F16" s="31">
        <v>-48</v>
      </c>
      <c r="G16" s="31">
        <v>-56</v>
      </c>
      <c r="H16" s="31">
        <v>-55</v>
      </c>
      <c r="I16" s="31">
        <v>-51</v>
      </c>
      <c r="J16" s="31">
        <v>-60</v>
      </c>
      <c r="K16" s="31">
        <v>-60</v>
      </c>
      <c r="L16" s="32">
        <v>-60</v>
      </c>
    </row>
    <row r="17" spans="1:12" ht="16.8" thickBot="1" x14ac:dyDescent="0.35">
      <c r="A17" s="71"/>
      <c r="B17" s="101"/>
      <c r="C17" s="34">
        <v>-55</v>
      </c>
      <c r="D17" s="34">
        <v>-59</v>
      </c>
      <c r="E17" s="34">
        <v>-64</v>
      </c>
      <c r="F17" s="34">
        <v>-87</v>
      </c>
      <c r="G17" s="34">
        <v>-67</v>
      </c>
      <c r="H17" s="34">
        <v>-71</v>
      </c>
      <c r="I17" s="34">
        <v>-76</v>
      </c>
      <c r="J17" s="34">
        <v>-99</v>
      </c>
      <c r="K17" s="34">
        <v>-122</v>
      </c>
      <c r="L17" s="35">
        <v>-160</v>
      </c>
    </row>
    <row r="18" spans="1:12" x14ac:dyDescent="0.3">
      <c r="A18" s="70">
        <v>40</v>
      </c>
      <c r="B18" s="100">
        <v>50</v>
      </c>
      <c r="C18" s="31">
        <v>-50</v>
      </c>
      <c r="D18" s="31">
        <v>-49</v>
      </c>
      <c r="E18" s="31">
        <v>-45</v>
      </c>
      <c r="F18" s="31">
        <v>-54</v>
      </c>
      <c r="G18" s="31">
        <v>-66</v>
      </c>
      <c r="H18" s="31">
        <v>-65</v>
      </c>
      <c r="I18" s="31">
        <v>-61</v>
      </c>
      <c r="J18" s="31">
        <v>-70</v>
      </c>
      <c r="K18" s="31">
        <v>-70</v>
      </c>
      <c r="L18" s="32">
        <v>-70</v>
      </c>
    </row>
    <row r="19" spans="1:12" ht="16.8" thickBot="1" x14ac:dyDescent="0.35">
      <c r="A19" s="71"/>
      <c r="B19" s="101"/>
      <c r="C19" s="34">
        <v>-61</v>
      </c>
      <c r="D19" s="34">
        <v>-65</v>
      </c>
      <c r="E19" s="34">
        <v>-70</v>
      </c>
      <c r="F19" s="34">
        <v>-93</v>
      </c>
      <c r="G19" s="34">
        <v>-77</v>
      </c>
      <c r="H19" s="34">
        <v>-81</v>
      </c>
      <c r="I19" s="34">
        <v>-86</v>
      </c>
      <c r="J19" s="34">
        <v>-109</v>
      </c>
      <c r="K19" s="34">
        <v>-132</v>
      </c>
      <c r="L19" s="35">
        <v>-170</v>
      </c>
    </row>
    <row r="20" spans="1:12" x14ac:dyDescent="0.3">
      <c r="A20" s="70">
        <v>50</v>
      </c>
      <c r="B20" s="100">
        <v>65</v>
      </c>
      <c r="C20" s="136"/>
      <c r="D20" s="31">
        <v>-60</v>
      </c>
      <c r="E20" s="31">
        <v>-55</v>
      </c>
      <c r="F20" s="31">
        <v>-66</v>
      </c>
      <c r="G20" s="136"/>
      <c r="H20" s="31">
        <v>-81</v>
      </c>
      <c r="I20" s="31">
        <v>-76</v>
      </c>
      <c r="J20" s="31">
        <v>-87</v>
      </c>
      <c r="K20" s="31">
        <v>-87</v>
      </c>
      <c r="L20" s="32">
        <v>-87</v>
      </c>
    </row>
    <row r="21" spans="1:12" ht="16.8" thickBot="1" x14ac:dyDescent="0.35">
      <c r="A21" s="71"/>
      <c r="B21" s="101"/>
      <c r="C21" s="137"/>
      <c r="D21" s="34">
        <v>-79</v>
      </c>
      <c r="E21" s="34">
        <v>-85</v>
      </c>
      <c r="F21" s="34">
        <v>-112</v>
      </c>
      <c r="G21" s="137"/>
      <c r="H21" s="34">
        <v>-100</v>
      </c>
      <c r="I21" s="34">
        <v>-106</v>
      </c>
      <c r="J21" s="34">
        <v>-133</v>
      </c>
      <c r="K21" s="34">
        <v>-161</v>
      </c>
      <c r="L21" s="35">
        <v>-207</v>
      </c>
    </row>
    <row r="22" spans="1:12" x14ac:dyDescent="0.3">
      <c r="A22" s="70">
        <v>65</v>
      </c>
      <c r="B22" s="100">
        <v>80</v>
      </c>
      <c r="C22" s="136"/>
      <c r="D22" s="31">
        <v>-69</v>
      </c>
      <c r="E22" s="31">
        <v>-64</v>
      </c>
      <c r="F22" s="31">
        <v>-75</v>
      </c>
      <c r="G22" s="136"/>
      <c r="H22" s="31">
        <v>-96</v>
      </c>
      <c r="I22" s="31">
        <v>-91</v>
      </c>
      <c r="J22" s="31">
        <v>-102</v>
      </c>
      <c r="K22" s="31">
        <v>-102</v>
      </c>
      <c r="L22" s="32">
        <v>-102</v>
      </c>
    </row>
    <row r="23" spans="1:12" ht="16.8" thickBot="1" x14ac:dyDescent="0.35">
      <c r="A23" s="71"/>
      <c r="B23" s="101"/>
      <c r="C23" s="137"/>
      <c r="D23" s="34">
        <v>-88</v>
      </c>
      <c r="E23" s="34">
        <v>-94</v>
      </c>
      <c r="F23" s="34">
        <v>-121</v>
      </c>
      <c r="G23" s="137"/>
      <c r="H23" s="34">
        <v>-115</v>
      </c>
      <c r="I23" s="34">
        <v>-121</v>
      </c>
      <c r="J23" s="34">
        <v>-148</v>
      </c>
      <c r="K23" s="34">
        <v>-176</v>
      </c>
      <c r="L23" s="35">
        <v>-222</v>
      </c>
    </row>
    <row r="24" spans="1:12" x14ac:dyDescent="0.3">
      <c r="A24" s="70">
        <v>80</v>
      </c>
      <c r="B24" s="100">
        <v>100</v>
      </c>
      <c r="C24" s="136"/>
      <c r="D24" s="31">
        <v>-84</v>
      </c>
      <c r="E24" s="31">
        <v>-78</v>
      </c>
      <c r="F24" s="31">
        <v>-91</v>
      </c>
      <c r="G24" s="136"/>
      <c r="H24" s="31">
        <v>-117</v>
      </c>
      <c r="I24" s="31">
        <v>-111</v>
      </c>
      <c r="J24" s="31">
        <v>-124</v>
      </c>
      <c r="K24" s="31">
        <v>-124</v>
      </c>
      <c r="L24" s="32">
        <v>-124</v>
      </c>
    </row>
    <row r="25" spans="1:12" ht="16.8" thickBot="1" x14ac:dyDescent="0.35">
      <c r="A25" s="71"/>
      <c r="B25" s="101"/>
      <c r="C25" s="137"/>
      <c r="D25" s="34">
        <v>-106</v>
      </c>
      <c r="E25" s="34">
        <v>-113</v>
      </c>
      <c r="F25" s="34">
        <v>-145</v>
      </c>
      <c r="G25" s="137"/>
      <c r="H25" s="34">
        <v>-139</v>
      </c>
      <c r="I25" s="34">
        <v>-146</v>
      </c>
      <c r="J25" s="34">
        <v>-178</v>
      </c>
      <c r="K25" s="34">
        <v>-211</v>
      </c>
      <c r="L25" s="35">
        <v>-264</v>
      </c>
    </row>
    <row r="26" spans="1:12" x14ac:dyDescent="0.3">
      <c r="A26" s="70">
        <v>100</v>
      </c>
      <c r="B26" s="100">
        <v>120</v>
      </c>
      <c r="C26" s="136"/>
      <c r="D26" s="31">
        <v>-97</v>
      </c>
      <c r="E26" s="31">
        <v>-91</v>
      </c>
      <c r="F26" s="31">
        <v>-104</v>
      </c>
      <c r="G26" s="136"/>
      <c r="H26" s="31">
        <v>-137</v>
      </c>
      <c r="I26" s="31">
        <v>-131</v>
      </c>
      <c r="J26" s="31">
        <v>-144</v>
      </c>
      <c r="K26" s="31">
        <v>-144</v>
      </c>
      <c r="L26" s="32">
        <v>-144</v>
      </c>
    </row>
    <row r="27" spans="1:12" ht="16.8" thickBot="1" x14ac:dyDescent="0.35">
      <c r="A27" s="71"/>
      <c r="B27" s="101"/>
      <c r="C27" s="137"/>
      <c r="D27" s="34">
        <v>-119</v>
      </c>
      <c r="E27" s="34">
        <v>-126</v>
      </c>
      <c r="F27" s="34">
        <v>-158</v>
      </c>
      <c r="G27" s="137"/>
      <c r="H27" s="34">
        <v>-159</v>
      </c>
      <c r="I27" s="34">
        <v>-166</v>
      </c>
      <c r="J27" s="34">
        <v>-198</v>
      </c>
      <c r="K27" s="34">
        <v>-231</v>
      </c>
      <c r="L27" s="35">
        <v>-284</v>
      </c>
    </row>
    <row r="28" spans="1:12" x14ac:dyDescent="0.3">
      <c r="A28" s="70">
        <v>120</v>
      </c>
      <c r="B28" s="100">
        <v>140</v>
      </c>
      <c r="C28" s="136"/>
      <c r="D28" s="31">
        <v>-115</v>
      </c>
      <c r="E28" s="31">
        <v>-107</v>
      </c>
      <c r="F28" s="31">
        <v>-122</v>
      </c>
      <c r="G28" s="136"/>
      <c r="H28" s="31">
        <v>-163</v>
      </c>
      <c r="I28" s="31">
        <v>-155</v>
      </c>
      <c r="J28" s="31">
        <v>-170</v>
      </c>
      <c r="K28" s="31">
        <v>-170</v>
      </c>
      <c r="L28" s="32">
        <v>-170</v>
      </c>
    </row>
    <row r="29" spans="1:12" ht="16.8" thickBot="1" x14ac:dyDescent="0.35">
      <c r="A29" s="71"/>
      <c r="B29" s="101"/>
      <c r="C29" s="137"/>
      <c r="D29" s="34">
        <v>-140</v>
      </c>
      <c r="E29" s="34">
        <v>-147</v>
      </c>
      <c r="F29" s="34">
        <v>-185</v>
      </c>
      <c r="G29" s="137"/>
      <c r="H29" s="34">
        <v>-188</v>
      </c>
      <c r="I29" s="34">
        <v>-195</v>
      </c>
      <c r="J29" s="34">
        <v>-233</v>
      </c>
      <c r="K29" s="34">
        <v>-270</v>
      </c>
      <c r="L29" s="35">
        <v>-330</v>
      </c>
    </row>
    <row r="30" spans="1:12" x14ac:dyDescent="0.3">
      <c r="A30" s="70">
        <v>140</v>
      </c>
      <c r="B30" s="100">
        <v>160</v>
      </c>
      <c r="C30" s="136"/>
      <c r="D30" s="31">
        <v>-127</v>
      </c>
      <c r="E30" s="31">
        <v>-119</v>
      </c>
      <c r="F30" s="31">
        <v>-134</v>
      </c>
      <c r="G30" s="136"/>
      <c r="H30" s="31">
        <v>-183</v>
      </c>
      <c r="I30" s="31">
        <v>-175</v>
      </c>
      <c r="J30" s="31">
        <v>-190</v>
      </c>
      <c r="K30" s="31">
        <v>-190</v>
      </c>
      <c r="L30" s="32">
        <v>-190</v>
      </c>
    </row>
    <row r="31" spans="1:12" ht="16.8" thickBot="1" x14ac:dyDescent="0.35">
      <c r="A31" s="71"/>
      <c r="B31" s="101"/>
      <c r="C31" s="137"/>
      <c r="D31" s="34">
        <v>-152</v>
      </c>
      <c r="E31" s="34">
        <v>-159</v>
      </c>
      <c r="F31" s="34">
        <v>-197</v>
      </c>
      <c r="G31" s="137"/>
      <c r="H31" s="34">
        <v>-208</v>
      </c>
      <c r="I31" s="34">
        <v>-215</v>
      </c>
      <c r="J31" s="34">
        <v>-253</v>
      </c>
      <c r="K31" s="34">
        <v>-290</v>
      </c>
      <c r="L31" s="35">
        <v>-350</v>
      </c>
    </row>
    <row r="32" spans="1:12" x14ac:dyDescent="0.3">
      <c r="A32" s="70">
        <v>160</v>
      </c>
      <c r="B32" s="100">
        <v>180</v>
      </c>
      <c r="C32" s="136"/>
      <c r="D32" s="31">
        <v>-139</v>
      </c>
      <c r="E32" s="31">
        <v>-131</v>
      </c>
      <c r="F32" s="31">
        <v>-146</v>
      </c>
      <c r="G32" s="136"/>
      <c r="H32" s="31">
        <v>-203</v>
      </c>
      <c r="I32" s="31">
        <v>-195</v>
      </c>
      <c r="J32" s="31">
        <v>-210</v>
      </c>
      <c r="K32" s="31">
        <v>-210</v>
      </c>
      <c r="L32" s="32">
        <v>-210</v>
      </c>
    </row>
    <row r="33" spans="1:12" ht="16.8" thickBot="1" x14ac:dyDescent="0.35">
      <c r="A33" s="71"/>
      <c r="B33" s="101"/>
      <c r="C33" s="137"/>
      <c r="D33" s="34">
        <v>-164</v>
      </c>
      <c r="E33" s="34">
        <v>-171</v>
      </c>
      <c r="F33" s="34">
        <v>-209</v>
      </c>
      <c r="G33" s="137"/>
      <c r="H33" s="34">
        <v>-228</v>
      </c>
      <c r="I33" s="34">
        <v>-235</v>
      </c>
      <c r="J33" s="34">
        <v>-273</v>
      </c>
      <c r="K33" s="34">
        <v>-310</v>
      </c>
      <c r="L33" s="35">
        <v>-370</v>
      </c>
    </row>
    <row r="34" spans="1:12" x14ac:dyDescent="0.3">
      <c r="A34" s="70">
        <v>180</v>
      </c>
      <c r="B34" s="100">
        <v>200</v>
      </c>
      <c r="C34" s="136"/>
      <c r="D34" s="31">
        <v>-157</v>
      </c>
      <c r="E34" s="31">
        <v>-149</v>
      </c>
      <c r="F34" s="31">
        <v>-166</v>
      </c>
      <c r="G34" s="136"/>
      <c r="H34" s="31">
        <v>-227</v>
      </c>
      <c r="I34" s="31">
        <v>-219</v>
      </c>
      <c r="J34" s="31">
        <v>-236</v>
      </c>
      <c r="K34" s="31">
        <v>-236</v>
      </c>
      <c r="L34" s="32">
        <v>-236</v>
      </c>
    </row>
    <row r="35" spans="1:12" ht="16.8" thickBot="1" x14ac:dyDescent="0.35">
      <c r="A35" s="71"/>
      <c r="B35" s="101"/>
      <c r="C35" s="137"/>
      <c r="D35" s="34">
        <v>-186</v>
      </c>
      <c r="E35" s="34">
        <v>-195</v>
      </c>
      <c r="F35" s="34">
        <v>-238</v>
      </c>
      <c r="G35" s="137"/>
      <c r="H35" s="34">
        <v>-256</v>
      </c>
      <c r="I35" s="34">
        <v>-265</v>
      </c>
      <c r="J35" s="34">
        <v>-308</v>
      </c>
      <c r="K35" s="34">
        <v>-351</v>
      </c>
      <c r="L35" s="35">
        <v>-421</v>
      </c>
    </row>
    <row r="36" spans="1:12" x14ac:dyDescent="0.3">
      <c r="A36" s="70">
        <v>200</v>
      </c>
      <c r="B36" s="100">
        <v>225</v>
      </c>
      <c r="C36" s="136"/>
      <c r="D36" s="31">
        <v>-171</v>
      </c>
      <c r="E36" s="31">
        <v>-163</v>
      </c>
      <c r="F36" s="31">
        <v>-180</v>
      </c>
      <c r="G36" s="136"/>
      <c r="H36" s="31">
        <v>-249</v>
      </c>
      <c r="I36" s="31">
        <v>-241</v>
      </c>
      <c r="J36" s="31">
        <v>-258</v>
      </c>
      <c r="K36" s="31">
        <v>-258</v>
      </c>
      <c r="L36" s="32">
        <v>-258</v>
      </c>
    </row>
    <row r="37" spans="1:12" ht="16.8" thickBot="1" x14ac:dyDescent="0.35">
      <c r="A37" s="71"/>
      <c r="B37" s="101"/>
      <c r="C37" s="137"/>
      <c r="D37" s="34">
        <v>-200</v>
      </c>
      <c r="E37" s="34">
        <v>-209</v>
      </c>
      <c r="F37" s="34">
        <v>-252</v>
      </c>
      <c r="G37" s="137"/>
      <c r="H37" s="34">
        <v>-278</v>
      </c>
      <c r="I37" s="34">
        <v>-287</v>
      </c>
      <c r="J37" s="34">
        <v>-330</v>
      </c>
      <c r="K37" s="34">
        <v>-373</v>
      </c>
      <c r="L37" s="35">
        <v>-443</v>
      </c>
    </row>
    <row r="38" spans="1:12" x14ac:dyDescent="0.3">
      <c r="A38" s="70">
        <v>225</v>
      </c>
      <c r="B38" s="100">
        <v>250</v>
      </c>
      <c r="C38" s="136"/>
      <c r="D38" s="31">
        <v>-187</v>
      </c>
      <c r="E38" s="31">
        <v>-179</v>
      </c>
      <c r="F38" s="31">
        <v>-196</v>
      </c>
      <c r="G38" s="136"/>
      <c r="H38" s="31">
        <v>-275</v>
      </c>
      <c r="I38" s="31">
        <v>-267</v>
      </c>
      <c r="J38" s="31">
        <v>-284</v>
      </c>
      <c r="K38" s="31">
        <v>-284</v>
      </c>
      <c r="L38" s="32">
        <v>-284</v>
      </c>
    </row>
    <row r="39" spans="1:12" ht="16.8" thickBot="1" x14ac:dyDescent="0.35">
      <c r="A39" s="71"/>
      <c r="B39" s="101"/>
      <c r="C39" s="137"/>
      <c r="D39" s="34">
        <v>-216</v>
      </c>
      <c r="E39" s="34">
        <v>-225</v>
      </c>
      <c r="F39" s="34">
        <v>-268</v>
      </c>
      <c r="G39" s="137"/>
      <c r="H39" s="34">
        <v>-304</v>
      </c>
      <c r="I39" s="34">
        <v>-313</v>
      </c>
      <c r="J39" s="34">
        <v>-356</v>
      </c>
      <c r="K39" s="34">
        <v>-399</v>
      </c>
      <c r="L39" s="35">
        <v>-469</v>
      </c>
    </row>
    <row r="40" spans="1:12" x14ac:dyDescent="0.3">
      <c r="A40" s="70">
        <v>250</v>
      </c>
      <c r="B40" s="100">
        <v>280</v>
      </c>
      <c r="C40" s="136"/>
      <c r="D40" s="31">
        <v>-209</v>
      </c>
      <c r="E40" s="31">
        <v>-198</v>
      </c>
      <c r="F40" s="31">
        <v>-218</v>
      </c>
      <c r="G40" s="136"/>
      <c r="H40" s="31">
        <v>-306</v>
      </c>
      <c r="I40" s="31">
        <v>-295</v>
      </c>
      <c r="J40" s="31">
        <v>-315</v>
      </c>
      <c r="K40" s="31">
        <v>-315</v>
      </c>
      <c r="L40" s="32">
        <v>-315</v>
      </c>
    </row>
    <row r="41" spans="1:12" ht="16.8" thickBot="1" x14ac:dyDescent="0.35">
      <c r="A41" s="71"/>
      <c r="B41" s="101"/>
      <c r="C41" s="137"/>
      <c r="D41" s="34">
        <v>-241</v>
      </c>
      <c r="E41" s="34">
        <v>-250</v>
      </c>
      <c r="F41" s="34">
        <v>-299</v>
      </c>
      <c r="G41" s="137"/>
      <c r="H41" s="34">
        <v>-338</v>
      </c>
      <c r="I41" s="34">
        <v>-347</v>
      </c>
      <c r="J41" s="34">
        <v>-396</v>
      </c>
      <c r="K41" s="34">
        <v>-445</v>
      </c>
      <c r="L41" s="35">
        <v>-525</v>
      </c>
    </row>
    <row r="42" spans="1:12" x14ac:dyDescent="0.3">
      <c r="A42" s="70">
        <v>280</v>
      </c>
      <c r="B42" s="100">
        <v>315</v>
      </c>
      <c r="C42" s="136"/>
      <c r="D42" s="31">
        <v>-231</v>
      </c>
      <c r="E42" s="31">
        <v>-220</v>
      </c>
      <c r="F42" s="31">
        <v>-240</v>
      </c>
      <c r="G42" s="136"/>
      <c r="H42" s="31">
        <v>-341</v>
      </c>
      <c r="I42" s="31">
        <v>-330</v>
      </c>
      <c r="J42" s="31">
        <v>-350</v>
      </c>
      <c r="K42" s="31">
        <v>-350</v>
      </c>
      <c r="L42" s="32">
        <v>-350</v>
      </c>
    </row>
    <row r="43" spans="1:12" ht="16.8" thickBot="1" x14ac:dyDescent="0.35">
      <c r="A43" s="71"/>
      <c r="B43" s="101"/>
      <c r="C43" s="137"/>
      <c r="D43" s="34">
        <v>-263</v>
      </c>
      <c r="E43" s="34">
        <v>-272</v>
      </c>
      <c r="F43" s="34">
        <v>-321</v>
      </c>
      <c r="G43" s="137"/>
      <c r="H43" s="34">
        <v>-373</v>
      </c>
      <c r="I43" s="34">
        <v>-382</v>
      </c>
      <c r="J43" s="34">
        <v>-431</v>
      </c>
      <c r="K43" s="34">
        <v>-480</v>
      </c>
      <c r="L43" s="35">
        <v>-560</v>
      </c>
    </row>
    <row r="44" spans="1:12" x14ac:dyDescent="0.3">
      <c r="A44" s="70">
        <v>315</v>
      </c>
      <c r="B44" s="100">
        <v>355</v>
      </c>
      <c r="C44" s="136"/>
      <c r="D44" s="31">
        <v>-257</v>
      </c>
      <c r="E44" s="31">
        <v>-247</v>
      </c>
      <c r="F44" s="31">
        <v>-268</v>
      </c>
      <c r="G44" s="136"/>
      <c r="H44" s="31">
        <v>-379</v>
      </c>
      <c r="I44" s="31">
        <v>-369</v>
      </c>
      <c r="J44" s="31">
        <v>-390</v>
      </c>
      <c r="K44" s="31">
        <v>-390</v>
      </c>
      <c r="L44" s="32">
        <v>-390</v>
      </c>
    </row>
    <row r="45" spans="1:12" ht="16.8" thickBot="1" x14ac:dyDescent="0.35">
      <c r="A45" s="71"/>
      <c r="B45" s="101"/>
      <c r="C45" s="137"/>
      <c r="D45" s="34">
        <v>-293</v>
      </c>
      <c r="E45" s="34">
        <v>-304</v>
      </c>
      <c r="F45" s="34">
        <v>-357</v>
      </c>
      <c r="G45" s="137"/>
      <c r="H45" s="34">
        <v>-415</v>
      </c>
      <c r="I45" s="34">
        <v>-426</v>
      </c>
      <c r="J45" s="34">
        <v>-479</v>
      </c>
      <c r="K45" s="34">
        <v>-530</v>
      </c>
      <c r="L45" s="35">
        <v>-620</v>
      </c>
    </row>
    <row r="46" spans="1:12" x14ac:dyDescent="0.3">
      <c r="A46" s="70">
        <v>355</v>
      </c>
      <c r="B46" s="100">
        <v>400</v>
      </c>
      <c r="C46" s="136"/>
      <c r="D46" s="31">
        <v>-283</v>
      </c>
      <c r="E46" s="31">
        <v>-273</v>
      </c>
      <c r="F46" s="31">
        <v>-294</v>
      </c>
      <c r="G46" s="136"/>
      <c r="H46" s="31">
        <v>-424</v>
      </c>
      <c r="I46" s="31">
        <v>-414</v>
      </c>
      <c r="J46" s="31">
        <v>-435</v>
      </c>
      <c r="K46" s="31">
        <v>-435</v>
      </c>
      <c r="L46" s="32">
        <v>-435</v>
      </c>
    </row>
    <row r="47" spans="1:12" ht="16.8" thickBot="1" x14ac:dyDescent="0.35">
      <c r="A47" s="71"/>
      <c r="B47" s="101"/>
      <c r="C47" s="137"/>
      <c r="D47" s="34">
        <v>-319</v>
      </c>
      <c r="E47" s="34">
        <v>-330</v>
      </c>
      <c r="F47" s="34">
        <v>-383</v>
      </c>
      <c r="G47" s="137"/>
      <c r="H47" s="34">
        <v>-460</v>
      </c>
      <c r="I47" s="34">
        <v>-471</v>
      </c>
      <c r="J47" s="34">
        <v>-524</v>
      </c>
      <c r="K47" s="34">
        <v>-575</v>
      </c>
      <c r="L47" s="35">
        <v>-665</v>
      </c>
    </row>
    <row r="48" spans="1:12" x14ac:dyDescent="0.3">
      <c r="A48" s="70">
        <v>400</v>
      </c>
      <c r="B48" s="100">
        <v>450</v>
      </c>
      <c r="C48" s="136"/>
      <c r="D48" s="31">
        <v>-317</v>
      </c>
      <c r="E48" s="31">
        <v>-307</v>
      </c>
      <c r="F48" s="31">
        <v>-330</v>
      </c>
      <c r="G48" s="136"/>
      <c r="H48" s="31">
        <v>-477</v>
      </c>
      <c r="I48" s="31">
        <v>-467</v>
      </c>
      <c r="J48" s="31">
        <v>-490</v>
      </c>
      <c r="K48" s="31">
        <v>-490</v>
      </c>
      <c r="L48" s="32">
        <v>-490</v>
      </c>
    </row>
    <row r="49" spans="1:12" ht="16.8" thickBot="1" x14ac:dyDescent="0.35">
      <c r="A49" s="71"/>
      <c r="B49" s="101"/>
      <c r="C49" s="137"/>
      <c r="D49" s="34">
        <v>-357</v>
      </c>
      <c r="E49" s="34">
        <v>-370</v>
      </c>
      <c r="F49" s="34">
        <v>-427</v>
      </c>
      <c r="G49" s="137"/>
      <c r="H49" s="34">
        <v>-517</v>
      </c>
      <c r="I49" s="34">
        <v>-530</v>
      </c>
      <c r="J49" s="34">
        <v>-587</v>
      </c>
      <c r="K49" s="34">
        <v>-645</v>
      </c>
      <c r="L49" s="35">
        <v>-740</v>
      </c>
    </row>
    <row r="50" spans="1:12" x14ac:dyDescent="0.3">
      <c r="A50" s="70">
        <v>450</v>
      </c>
      <c r="B50" s="100">
        <v>500</v>
      </c>
      <c r="C50" s="136"/>
      <c r="D50" s="31">
        <v>-347</v>
      </c>
      <c r="E50" s="31">
        <v>-337</v>
      </c>
      <c r="F50" s="31">
        <v>-360</v>
      </c>
      <c r="G50" s="136"/>
      <c r="H50" s="31">
        <v>-527</v>
      </c>
      <c r="I50" s="31">
        <v>-517</v>
      </c>
      <c r="J50" s="31">
        <v>-540</v>
      </c>
      <c r="K50" s="31">
        <v>-540</v>
      </c>
      <c r="L50" s="32">
        <v>-540</v>
      </c>
    </row>
    <row r="51" spans="1:12" ht="16.8" thickBot="1" x14ac:dyDescent="0.35">
      <c r="A51" s="166"/>
      <c r="B51" s="167"/>
      <c r="C51" s="157"/>
      <c r="D51" s="45">
        <v>-387</v>
      </c>
      <c r="E51" s="45">
        <v>-400</v>
      </c>
      <c r="F51" s="45">
        <v>-457</v>
      </c>
      <c r="G51" s="157"/>
      <c r="H51" s="45">
        <v>-567</v>
      </c>
      <c r="I51" s="45">
        <v>-580</v>
      </c>
      <c r="J51" s="45">
        <v>-637</v>
      </c>
      <c r="K51" s="45">
        <v>-695</v>
      </c>
      <c r="L51" s="48">
        <v>-790</v>
      </c>
    </row>
    <row r="52" spans="1:12" ht="16.8" thickTop="1" x14ac:dyDescent="0.3">
      <c r="A52" s="163">
        <v>500</v>
      </c>
      <c r="B52" s="74">
        <v>560</v>
      </c>
      <c r="C52" s="185"/>
      <c r="D52" s="47">
        <v>-400</v>
      </c>
      <c r="E52" s="47">
        <v>-400</v>
      </c>
      <c r="F52" s="49">
        <v>-400</v>
      </c>
      <c r="G52" s="177"/>
      <c r="H52" s="47">
        <v>-600</v>
      </c>
      <c r="I52" s="47">
        <v>-600</v>
      </c>
      <c r="J52" s="47">
        <v>-600</v>
      </c>
      <c r="K52" s="165"/>
      <c r="L52" s="162"/>
    </row>
    <row r="53" spans="1:12" ht="16.8" thickBot="1" x14ac:dyDescent="0.35">
      <c r="A53" s="62"/>
      <c r="B53" s="64"/>
      <c r="C53" s="76"/>
      <c r="D53" s="34">
        <v>-444</v>
      </c>
      <c r="E53" s="34">
        <v>-470</v>
      </c>
      <c r="F53" s="35">
        <v>-510</v>
      </c>
      <c r="G53" s="175"/>
      <c r="H53" s="34">
        <v>-644</v>
      </c>
      <c r="I53" s="34">
        <v>-670</v>
      </c>
      <c r="J53" s="34">
        <v>-710</v>
      </c>
      <c r="K53" s="88"/>
      <c r="L53" s="159"/>
    </row>
    <row r="54" spans="1:12" x14ac:dyDescent="0.3">
      <c r="A54" s="61">
        <v>560</v>
      </c>
      <c r="B54" s="63">
        <v>630</v>
      </c>
      <c r="C54" s="75"/>
      <c r="D54" s="31">
        <v>-450</v>
      </c>
      <c r="E54" s="31">
        <v>-450</v>
      </c>
      <c r="F54" s="32">
        <v>-450</v>
      </c>
      <c r="G54" s="172"/>
      <c r="H54" s="31">
        <v>-660</v>
      </c>
      <c r="I54" s="31">
        <v>-660</v>
      </c>
      <c r="J54" s="31">
        <v>-660</v>
      </c>
      <c r="K54" s="87"/>
      <c r="L54" s="158"/>
    </row>
    <row r="55" spans="1:12" ht="16.8" thickBot="1" x14ac:dyDescent="0.35">
      <c r="A55" s="62"/>
      <c r="B55" s="64"/>
      <c r="C55" s="76"/>
      <c r="D55" s="34">
        <v>-494</v>
      </c>
      <c r="E55" s="34">
        <v>-520</v>
      </c>
      <c r="F55" s="35">
        <v>-560</v>
      </c>
      <c r="G55" s="175"/>
      <c r="H55" s="34">
        <v>-704</v>
      </c>
      <c r="I55" s="34">
        <v>-730</v>
      </c>
      <c r="J55" s="34">
        <v>-770</v>
      </c>
      <c r="K55" s="88"/>
      <c r="L55" s="159"/>
    </row>
    <row r="56" spans="1:12" x14ac:dyDescent="0.3">
      <c r="A56" s="61">
        <v>630</v>
      </c>
      <c r="B56" s="63">
        <v>710</v>
      </c>
      <c r="C56" s="75"/>
      <c r="D56" s="31">
        <v>-500</v>
      </c>
      <c r="E56" s="31">
        <v>-500</v>
      </c>
      <c r="F56" s="32">
        <v>-500</v>
      </c>
      <c r="G56" s="172"/>
      <c r="H56" s="31">
        <v>-740</v>
      </c>
      <c r="I56" s="31">
        <v>-740</v>
      </c>
      <c r="J56" s="31">
        <v>-740</v>
      </c>
      <c r="K56" s="87"/>
      <c r="L56" s="158"/>
    </row>
    <row r="57" spans="1:12" ht="16.8" thickBot="1" x14ac:dyDescent="0.35">
      <c r="A57" s="62"/>
      <c r="B57" s="64"/>
      <c r="C57" s="76"/>
      <c r="D57" s="34">
        <v>-550</v>
      </c>
      <c r="E57" s="34">
        <v>-580</v>
      </c>
      <c r="F57" s="35">
        <v>-625</v>
      </c>
      <c r="G57" s="175"/>
      <c r="H57" s="34">
        <v>-790</v>
      </c>
      <c r="I57" s="34">
        <v>-820</v>
      </c>
      <c r="J57" s="34">
        <v>-865</v>
      </c>
      <c r="K57" s="88"/>
      <c r="L57" s="159"/>
    </row>
    <row r="58" spans="1:12" x14ac:dyDescent="0.3">
      <c r="A58" s="61">
        <v>710</v>
      </c>
      <c r="B58" s="63">
        <v>800</v>
      </c>
      <c r="C58" s="75"/>
      <c r="D58" s="31">
        <v>-560</v>
      </c>
      <c r="E58" s="31">
        <v>-560</v>
      </c>
      <c r="F58" s="32">
        <v>-560</v>
      </c>
      <c r="G58" s="172"/>
      <c r="H58" s="31">
        <v>-840</v>
      </c>
      <c r="I58" s="31">
        <v>-840</v>
      </c>
      <c r="J58" s="31">
        <v>-840</v>
      </c>
      <c r="K58" s="87"/>
      <c r="L58" s="158"/>
    </row>
    <row r="59" spans="1:12" ht="16.8" thickBot="1" x14ac:dyDescent="0.35">
      <c r="A59" s="62"/>
      <c r="B59" s="64"/>
      <c r="C59" s="76"/>
      <c r="D59" s="34">
        <v>-610</v>
      </c>
      <c r="E59" s="34">
        <v>-640</v>
      </c>
      <c r="F59" s="35">
        <v>-685</v>
      </c>
      <c r="G59" s="175"/>
      <c r="H59" s="34">
        <v>-890</v>
      </c>
      <c r="I59" s="34">
        <v>-920</v>
      </c>
      <c r="J59" s="34">
        <v>-965</v>
      </c>
      <c r="K59" s="88"/>
      <c r="L59" s="159"/>
    </row>
    <row r="60" spans="1:12" x14ac:dyDescent="0.3">
      <c r="A60" s="61">
        <v>800</v>
      </c>
      <c r="B60" s="63">
        <v>900</v>
      </c>
      <c r="C60" s="75"/>
      <c r="D60" s="31">
        <v>-620</v>
      </c>
      <c r="E60" s="31">
        <v>-620</v>
      </c>
      <c r="F60" s="32">
        <v>-620</v>
      </c>
      <c r="G60" s="172"/>
      <c r="H60" s="31">
        <v>-940</v>
      </c>
      <c r="I60" s="31">
        <v>-940</v>
      </c>
      <c r="J60" s="31">
        <v>-940</v>
      </c>
      <c r="K60" s="87"/>
      <c r="L60" s="158"/>
    </row>
    <row r="61" spans="1:12" ht="16.8" thickBot="1" x14ac:dyDescent="0.35">
      <c r="A61" s="62"/>
      <c r="B61" s="64"/>
      <c r="C61" s="76"/>
      <c r="D61" s="34">
        <v>-676</v>
      </c>
      <c r="E61" s="34">
        <v>-710</v>
      </c>
      <c r="F61" s="35">
        <v>-760</v>
      </c>
      <c r="G61" s="175"/>
      <c r="H61" s="34">
        <v>-996</v>
      </c>
      <c r="I61" s="56">
        <v>-1030</v>
      </c>
      <c r="J61" s="56">
        <v>-1080</v>
      </c>
      <c r="K61" s="88"/>
      <c r="L61" s="159"/>
    </row>
    <row r="62" spans="1:12" x14ac:dyDescent="0.3">
      <c r="A62" s="61">
        <v>900</v>
      </c>
      <c r="B62" s="170">
        <v>1000</v>
      </c>
      <c r="C62" s="75"/>
      <c r="D62" s="31">
        <v>-680</v>
      </c>
      <c r="E62" s="31">
        <v>-680</v>
      </c>
      <c r="F62" s="32">
        <v>-680</v>
      </c>
      <c r="G62" s="172"/>
      <c r="H62" s="38">
        <v>-1050</v>
      </c>
      <c r="I62" s="38">
        <v>-1050</v>
      </c>
      <c r="J62" s="38">
        <v>-1050</v>
      </c>
      <c r="K62" s="87"/>
      <c r="L62" s="158"/>
    </row>
    <row r="63" spans="1:12" ht="16.8" thickBot="1" x14ac:dyDescent="0.35">
      <c r="A63" s="62"/>
      <c r="B63" s="174"/>
      <c r="C63" s="76"/>
      <c r="D63" s="34">
        <v>-736</v>
      </c>
      <c r="E63" s="34">
        <v>-770</v>
      </c>
      <c r="F63" s="35">
        <v>-820</v>
      </c>
      <c r="G63" s="175"/>
      <c r="H63" s="56">
        <v>-1106</v>
      </c>
      <c r="I63" s="56">
        <v>-1140</v>
      </c>
      <c r="J63" s="56">
        <v>-1190</v>
      </c>
      <c r="K63" s="88"/>
      <c r="L63" s="159"/>
    </row>
    <row r="64" spans="1:12" x14ac:dyDescent="0.3">
      <c r="A64" s="96">
        <v>1000</v>
      </c>
      <c r="B64" s="170">
        <v>1120</v>
      </c>
      <c r="C64" s="75"/>
      <c r="D64" s="31">
        <v>-780</v>
      </c>
      <c r="E64" s="31">
        <v>-780</v>
      </c>
      <c r="F64" s="32">
        <v>-780</v>
      </c>
      <c r="G64" s="172"/>
      <c r="H64" s="38">
        <v>-1150</v>
      </c>
      <c r="I64" s="38">
        <v>-1150</v>
      </c>
      <c r="J64" s="38">
        <v>-1150</v>
      </c>
      <c r="K64" s="87"/>
      <c r="L64" s="158"/>
    </row>
    <row r="65" spans="1:12" ht="16.8" thickBot="1" x14ac:dyDescent="0.35">
      <c r="A65" s="97"/>
      <c r="B65" s="174"/>
      <c r="C65" s="76"/>
      <c r="D65" s="34">
        <v>-846</v>
      </c>
      <c r="E65" s="34">
        <v>-885</v>
      </c>
      <c r="F65" s="35">
        <v>-945</v>
      </c>
      <c r="G65" s="175"/>
      <c r="H65" s="56">
        <v>-1216</v>
      </c>
      <c r="I65" s="56">
        <v>-1255</v>
      </c>
      <c r="J65" s="56">
        <v>-1315</v>
      </c>
      <c r="K65" s="88"/>
      <c r="L65" s="159"/>
    </row>
    <row r="66" spans="1:12" x14ac:dyDescent="0.3">
      <c r="A66" s="96">
        <v>1120</v>
      </c>
      <c r="B66" s="170">
        <v>1250</v>
      </c>
      <c r="C66" s="75"/>
      <c r="D66" s="31">
        <v>-840</v>
      </c>
      <c r="E66" s="31">
        <v>-840</v>
      </c>
      <c r="F66" s="32">
        <v>-840</v>
      </c>
      <c r="G66" s="172"/>
      <c r="H66" s="38">
        <v>-1300</v>
      </c>
      <c r="I66" s="38">
        <v>-1300</v>
      </c>
      <c r="J66" s="38">
        <v>-1300</v>
      </c>
      <c r="K66" s="87"/>
      <c r="L66" s="158"/>
    </row>
    <row r="67" spans="1:12" ht="16.8" thickBot="1" x14ac:dyDescent="0.35">
      <c r="A67" s="97"/>
      <c r="B67" s="174"/>
      <c r="C67" s="76"/>
      <c r="D67" s="34">
        <v>-906</v>
      </c>
      <c r="E67" s="34">
        <v>-945</v>
      </c>
      <c r="F67" s="57">
        <v>-1005</v>
      </c>
      <c r="G67" s="175"/>
      <c r="H67" s="56">
        <v>-1366</v>
      </c>
      <c r="I67" s="56">
        <v>-1405</v>
      </c>
      <c r="J67" s="56">
        <v>-1465</v>
      </c>
      <c r="K67" s="88"/>
      <c r="L67" s="159"/>
    </row>
    <row r="68" spans="1:12" x14ac:dyDescent="0.3">
      <c r="A68" s="96">
        <v>1250</v>
      </c>
      <c r="B68" s="170">
        <v>1400</v>
      </c>
      <c r="C68" s="75"/>
      <c r="D68" s="31">
        <v>-960</v>
      </c>
      <c r="E68" s="31">
        <v>-960</v>
      </c>
      <c r="F68" s="32">
        <v>-960</v>
      </c>
      <c r="G68" s="172"/>
      <c r="H68" s="38">
        <v>-1450</v>
      </c>
      <c r="I68" s="38">
        <v>-1450</v>
      </c>
      <c r="J68" s="38">
        <v>-1450</v>
      </c>
      <c r="K68" s="87"/>
      <c r="L68" s="158"/>
    </row>
    <row r="69" spans="1:12" ht="16.8" thickBot="1" x14ac:dyDescent="0.35">
      <c r="A69" s="97"/>
      <c r="B69" s="174"/>
      <c r="C69" s="76"/>
      <c r="D69" s="56">
        <v>-1038</v>
      </c>
      <c r="E69" s="56">
        <v>-1085</v>
      </c>
      <c r="F69" s="57">
        <v>-1155</v>
      </c>
      <c r="G69" s="175"/>
      <c r="H69" s="56">
        <v>-1528</v>
      </c>
      <c r="I69" s="56">
        <v>-1575</v>
      </c>
      <c r="J69" s="56">
        <v>-1645</v>
      </c>
      <c r="K69" s="88"/>
      <c r="L69" s="159"/>
    </row>
    <row r="70" spans="1:12" x14ac:dyDescent="0.3">
      <c r="A70" s="96">
        <v>1400</v>
      </c>
      <c r="B70" s="170">
        <v>1600</v>
      </c>
      <c r="C70" s="75"/>
      <c r="D70" s="38">
        <v>-1050</v>
      </c>
      <c r="E70" s="38">
        <v>-1050</v>
      </c>
      <c r="F70" s="58">
        <v>-1050</v>
      </c>
      <c r="G70" s="172"/>
      <c r="H70" s="38">
        <v>-1600</v>
      </c>
      <c r="I70" s="38">
        <v>-1600</v>
      </c>
      <c r="J70" s="38">
        <v>-1600</v>
      </c>
      <c r="K70" s="87"/>
      <c r="L70" s="158"/>
    </row>
    <row r="71" spans="1:12" ht="16.8" thickBot="1" x14ac:dyDescent="0.35">
      <c r="A71" s="97"/>
      <c r="B71" s="174"/>
      <c r="C71" s="76"/>
      <c r="D71" s="56">
        <v>-1128</v>
      </c>
      <c r="E71" s="56">
        <v>-1175</v>
      </c>
      <c r="F71" s="57">
        <v>-1245</v>
      </c>
      <c r="G71" s="175"/>
      <c r="H71" s="56">
        <v>-1678</v>
      </c>
      <c r="I71" s="56">
        <v>-1725</v>
      </c>
      <c r="J71" s="56">
        <v>-1795</v>
      </c>
      <c r="K71" s="88"/>
      <c r="L71" s="159"/>
    </row>
    <row r="72" spans="1:12" x14ac:dyDescent="0.3">
      <c r="A72" s="96">
        <v>1600</v>
      </c>
      <c r="B72" s="170">
        <v>1800</v>
      </c>
      <c r="C72" s="75"/>
      <c r="D72" s="38">
        <v>-1200</v>
      </c>
      <c r="E72" s="38">
        <v>-1200</v>
      </c>
      <c r="F72" s="58">
        <v>-1200</v>
      </c>
      <c r="G72" s="172"/>
      <c r="H72" s="38">
        <v>-1850</v>
      </c>
      <c r="I72" s="38">
        <v>-1850</v>
      </c>
      <c r="J72" s="38">
        <v>-1850</v>
      </c>
      <c r="K72" s="87"/>
      <c r="L72" s="158"/>
    </row>
    <row r="73" spans="1:12" ht="16.8" thickBot="1" x14ac:dyDescent="0.35">
      <c r="A73" s="97"/>
      <c r="B73" s="174"/>
      <c r="C73" s="76"/>
      <c r="D73" s="56">
        <v>-1292</v>
      </c>
      <c r="E73" s="56">
        <v>-1350</v>
      </c>
      <c r="F73" s="57">
        <v>-1430</v>
      </c>
      <c r="G73" s="175"/>
      <c r="H73" s="56">
        <v>-1942</v>
      </c>
      <c r="I73" s="56">
        <v>-2000</v>
      </c>
      <c r="J73" s="56">
        <v>-2080</v>
      </c>
      <c r="K73" s="88"/>
      <c r="L73" s="159"/>
    </row>
    <row r="74" spans="1:12" x14ac:dyDescent="0.3">
      <c r="A74" s="96">
        <v>1800</v>
      </c>
      <c r="B74" s="170">
        <v>2000</v>
      </c>
      <c r="C74" s="75"/>
      <c r="D74" s="38">
        <v>-1350</v>
      </c>
      <c r="E74" s="38">
        <v>-1350</v>
      </c>
      <c r="F74" s="58">
        <v>-1350</v>
      </c>
      <c r="G74" s="172"/>
      <c r="H74" s="38">
        <v>-2000</v>
      </c>
      <c r="I74" s="38">
        <v>-2000</v>
      </c>
      <c r="J74" s="38">
        <v>-2000</v>
      </c>
      <c r="K74" s="87"/>
      <c r="L74" s="158"/>
    </row>
    <row r="75" spans="1:12" ht="16.8" thickBot="1" x14ac:dyDescent="0.35">
      <c r="A75" s="97"/>
      <c r="B75" s="174"/>
      <c r="C75" s="76"/>
      <c r="D75" s="56">
        <v>-1442</v>
      </c>
      <c r="E75" s="56">
        <v>-1500</v>
      </c>
      <c r="F75" s="57">
        <v>-1580</v>
      </c>
      <c r="G75" s="175"/>
      <c r="H75" s="56">
        <v>-2092</v>
      </c>
      <c r="I75" s="56">
        <v>-2150</v>
      </c>
      <c r="J75" s="56">
        <v>-2230</v>
      </c>
      <c r="K75" s="88"/>
      <c r="L75" s="159"/>
    </row>
    <row r="76" spans="1:12" x14ac:dyDescent="0.3">
      <c r="A76" s="96">
        <v>2000</v>
      </c>
      <c r="B76" s="170">
        <v>2240</v>
      </c>
      <c r="C76" s="75"/>
      <c r="D76" s="38">
        <v>-1500</v>
      </c>
      <c r="E76" s="38">
        <v>-1500</v>
      </c>
      <c r="F76" s="58">
        <v>-1500</v>
      </c>
      <c r="G76" s="172"/>
      <c r="H76" s="38">
        <v>-2300</v>
      </c>
      <c r="I76" s="38">
        <v>-2300</v>
      </c>
      <c r="J76" s="38">
        <v>-2300</v>
      </c>
      <c r="K76" s="87"/>
      <c r="L76" s="158"/>
    </row>
    <row r="77" spans="1:12" ht="16.8" thickBot="1" x14ac:dyDescent="0.35">
      <c r="A77" s="97"/>
      <c r="B77" s="174"/>
      <c r="C77" s="76"/>
      <c r="D77" s="56">
        <v>-1610</v>
      </c>
      <c r="E77" s="56">
        <v>-1675</v>
      </c>
      <c r="F77" s="57">
        <v>-1780</v>
      </c>
      <c r="G77" s="175"/>
      <c r="H77" s="56">
        <v>-2410</v>
      </c>
      <c r="I77" s="56">
        <v>-2475</v>
      </c>
      <c r="J77" s="56">
        <v>-2580</v>
      </c>
      <c r="K77" s="88"/>
      <c r="L77" s="159"/>
    </row>
    <row r="78" spans="1:12" x14ac:dyDescent="0.3">
      <c r="A78" s="96">
        <v>2240</v>
      </c>
      <c r="B78" s="170">
        <v>2500</v>
      </c>
      <c r="C78" s="75"/>
      <c r="D78" s="38">
        <v>-1650</v>
      </c>
      <c r="E78" s="38">
        <v>-1650</v>
      </c>
      <c r="F78" s="58">
        <v>-1650</v>
      </c>
      <c r="G78" s="172"/>
      <c r="H78" s="38">
        <v>-2500</v>
      </c>
      <c r="I78" s="38">
        <v>-2500</v>
      </c>
      <c r="J78" s="38">
        <v>-2500</v>
      </c>
      <c r="K78" s="87"/>
      <c r="L78" s="158"/>
    </row>
    <row r="79" spans="1:12" ht="16.8" thickBot="1" x14ac:dyDescent="0.35">
      <c r="A79" s="97"/>
      <c r="B79" s="174"/>
      <c r="C79" s="76"/>
      <c r="D79" s="56">
        <v>-1760</v>
      </c>
      <c r="E79" s="56">
        <v>-1825</v>
      </c>
      <c r="F79" s="57">
        <v>-1930</v>
      </c>
      <c r="G79" s="175"/>
      <c r="H79" s="56">
        <v>-2610</v>
      </c>
      <c r="I79" s="56">
        <v>-2675</v>
      </c>
      <c r="J79" s="56">
        <v>-2780</v>
      </c>
      <c r="K79" s="88"/>
      <c r="L79" s="159"/>
    </row>
    <row r="80" spans="1:12" x14ac:dyDescent="0.3">
      <c r="A80" s="96">
        <v>2500</v>
      </c>
      <c r="B80" s="170">
        <v>2800</v>
      </c>
      <c r="C80" s="75"/>
      <c r="D80" s="38">
        <v>-1900</v>
      </c>
      <c r="E80" s="38">
        <v>-1900</v>
      </c>
      <c r="F80" s="58">
        <v>-1900</v>
      </c>
      <c r="G80" s="172"/>
      <c r="H80" s="38">
        <v>-2900</v>
      </c>
      <c r="I80" s="38">
        <v>-2900</v>
      </c>
      <c r="J80" s="38">
        <v>-2900</v>
      </c>
      <c r="K80" s="87"/>
      <c r="L80" s="158"/>
    </row>
    <row r="81" spans="1:12" ht="16.8" thickBot="1" x14ac:dyDescent="0.35">
      <c r="A81" s="97"/>
      <c r="B81" s="174"/>
      <c r="C81" s="76"/>
      <c r="D81" s="56">
        <v>-2035</v>
      </c>
      <c r="E81" s="56">
        <v>-2110</v>
      </c>
      <c r="F81" s="57">
        <v>-2230</v>
      </c>
      <c r="G81" s="175"/>
      <c r="H81" s="56">
        <v>-3035</v>
      </c>
      <c r="I81" s="56">
        <v>-3110</v>
      </c>
      <c r="J81" s="56">
        <v>-3230</v>
      </c>
      <c r="K81" s="88"/>
      <c r="L81" s="159"/>
    </row>
    <row r="82" spans="1:12" x14ac:dyDescent="0.3">
      <c r="A82" s="96">
        <v>2800</v>
      </c>
      <c r="B82" s="170">
        <v>3150</v>
      </c>
      <c r="C82" s="75"/>
      <c r="D82" s="38">
        <v>-2100</v>
      </c>
      <c r="E82" s="38">
        <v>-2100</v>
      </c>
      <c r="F82" s="58">
        <v>-2100</v>
      </c>
      <c r="G82" s="172"/>
      <c r="H82" s="38">
        <v>-3200</v>
      </c>
      <c r="I82" s="38">
        <v>-3200</v>
      </c>
      <c r="J82" s="38">
        <v>-3200</v>
      </c>
      <c r="K82" s="87"/>
      <c r="L82" s="158"/>
    </row>
    <row r="83" spans="1:12" ht="16.8" thickBot="1" x14ac:dyDescent="0.35">
      <c r="A83" s="155"/>
      <c r="B83" s="171"/>
      <c r="C83" s="184"/>
      <c r="D83" s="59">
        <v>-2235</v>
      </c>
      <c r="E83" s="59">
        <v>-2310</v>
      </c>
      <c r="F83" s="60">
        <v>-2430</v>
      </c>
      <c r="G83" s="173"/>
      <c r="H83" s="59">
        <v>-3335</v>
      </c>
      <c r="I83" s="59">
        <v>-3410</v>
      </c>
      <c r="J83" s="59">
        <v>-3530</v>
      </c>
      <c r="K83" s="160"/>
      <c r="L83" s="161"/>
    </row>
    <row r="84" spans="1:12" ht="17.399999999999999" thickTop="1" thickBot="1" x14ac:dyDescent="0.35">
      <c r="A84" s="181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3"/>
    </row>
    <row r="85" spans="1:12" ht="16.8" thickTop="1" x14ac:dyDescent="0.3"/>
  </sheetData>
  <mergeCells count="181">
    <mergeCell ref="A8:A9"/>
    <mergeCell ref="B8:B9"/>
    <mergeCell ref="A6:A7"/>
    <mergeCell ref="B6:B7"/>
    <mergeCell ref="A1:B1"/>
    <mergeCell ref="A2:B2"/>
    <mergeCell ref="G1:L2"/>
    <mergeCell ref="A4:A5"/>
    <mergeCell ref="B4:B5"/>
    <mergeCell ref="C1:F2"/>
    <mergeCell ref="A14:A15"/>
    <mergeCell ref="B14:B15"/>
    <mergeCell ref="A16:A17"/>
    <mergeCell ref="B16:B17"/>
    <mergeCell ref="A18:A19"/>
    <mergeCell ref="B18:B19"/>
    <mergeCell ref="A12:A13"/>
    <mergeCell ref="B12:B13"/>
    <mergeCell ref="A10:A11"/>
    <mergeCell ref="B10:B11"/>
    <mergeCell ref="A24:A25"/>
    <mergeCell ref="B24:B25"/>
    <mergeCell ref="C24:C25"/>
    <mergeCell ref="G24:G25"/>
    <mergeCell ref="A26:A27"/>
    <mergeCell ref="B26:B27"/>
    <mergeCell ref="C26:C27"/>
    <mergeCell ref="G26:G27"/>
    <mergeCell ref="A20:A21"/>
    <mergeCell ref="B20:B21"/>
    <mergeCell ref="C20:C21"/>
    <mergeCell ref="G20:G21"/>
    <mergeCell ref="A22:A23"/>
    <mergeCell ref="B22:B23"/>
    <mergeCell ref="C22:C23"/>
    <mergeCell ref="G22:G23"/>
    <mergeCell ref="A32:A33"/>
    <mergeCell ref="B32:B33"/>
    <mergeCell ref="C32:C33"/>
    <mergeCell ref="G32:G33"/>
    <mergeCell ref="A34:A35"/>
    <mergeCell ref="B34:B35"/>
    <mergeCell ref="C34:C35"/>
    <mergeCell ref="G34:G35"/>
    <mergeCell ref="A28:A29"/>
    <mergeCell ref="B28:B29"/>
    <mergeCell ref="C28:C29"/>
    <mergeCell ref="G28:G29"/>
    <mergeCell ref="A30:A31"/>
    <mergeCell ref="B30:B31"/>
    <mergeCell ref="C30:C31"/>
    <mergeCell ref="G30:G31"/>
    <mergeCell ref="A40:A41"/>
    <mergeCell ref="B40:B41"/>
    <mergeCell ref="C40:C41"/>
    <mergeCell ref="G40:G41"/>
    <mergeCell ref="A42:A43"/>
    <mergeCell ref="B42:B43"/>
    <mergeCell ref="C42:C43"/>
    <mergeCell ref="G42:G43"/>
    <mergeCell ref="A36:A37"/>
    <mergeCell ref="B36:B37"/>
    <mergeCell ref="C36:C37"/>
    <mergeCell ref="G36:G37"/>
    <mergeCell ref="A38:A39"/>
    <mergeCell ref="B38:B39"/>
    <mergeCell ref="C38:C39"/>
    <mergeCell ref="G38:G39"/>
    <mergeCell ref="A48:A49"/>
    <mergeCell ref="B48:B49"/>
    <mergeCell ref="C48:C49"/>
    <mergeCell ref="G48:G49"/>
    <mergeCell ref="A50:A51"/>
    <mergeCell ref="B50:B51"/>
    <mergeCell ref="C50:C51"/>
    <mergeCell ref="G50:G51"/>
    <mergeCell ref="A44:A45"/>
    <mergeCell ref="B44:B45"/>
    <mergeCell ref="C44:C45"/>
    <mergeCell ref="G44:G45"/>
    <mergeCell ref="A46:A47"/>
    <mergeCell ref="B46:B47"/>
    <mergeCell ref="C46:C47"/>
    <mergeCell ref="G46:G47"/>
    <mergeCell ref="A54:A55"/>
    <mergeCell ref="B54:B55"/>
    <mergeCell ref="C54:C55"/>
    <mergeCell ref="G54:G55"/>
    <mergeCell ref="K54:K55"/>
    <mergeCell ref="L54:L55"/>
    <mergeCell ref="A52:A53"/>
    <mergeCell ref="B52:B53"/>
    <mergeCell ref="C52:C53"/>
    <mergeCell ref="G52:G53"/>
    <mergeCell ref="K52:K53"/>
    <mergeCell ref="L52:L53"/>
    <mergeCell ref="A58:A59"/>
    <mergeCell ref="B58:B59"/>
    <mergeCell ref="C58:C59"/>
    <mergeCell ref="G58:G59"/>
    <mergeCell ref="K58:K59"/>
    <mergeCell ref="L58:L59"/>
    <mergeCell ref="A56:A57"/>
    <mergeCell ref="B56:B57"/>
    <mergeCell ref="C56:C57"/>
    <mergeCell ref="G56:G57"/>
    <mergeCell ref="K56:K57"/>
    <mergeCell ref="L56:L57"/>
    <mergeCell ref="A62:A63"/>
    <mergeCell ref="B62:B63"/>
    <mergeCell ref="C62:C63"/>
    <mergeCell ref="G62:G63"/>
    <mergeCell ref="K62:K63"/>
    <mergeCell ref="L62:L63"/>
    <mergeCell ref="A60:A61"/>
    <mergeCell ref="B60:B61"/>
    <mergeCell ref="C60:C61"/>
    <mergeCell ref="G60:G61"/>
    <mergeCell ref="K60:K61"/>
    <mergeCell ref="L60:L61"/>
    <mergeCell ref="A66:A67"/>
    <mergeCell ref="B66:B67"/>
    <mergeCell ref="C66:C67"/>
    <mergeCell ref="G66:G67"/>
    <mergeCell ref="K66:K67"/>
    <mergeCell ref="L66:L67"/>
    <mergeCell ref="A64:A65"/>
    <mergeCell ref="B64:B65"/>
    <mergeCell ref="C64:C65"/>
    <mergeCell ref="G64:G65"/>
    <mergeCell ref="K64:K65"/>
    <mergeCell ref="L64:L65"/>
    <mergeCell ref="A70:A71"/>
    <mergeCell ref="B70:B71"/>
    <mergeCell ref="C70:C71"/>
    <mergeCell ref="G70:G71"/>
    <mergeCell ref="K70:K71"/>
    <mergeCell ref="L70:L71"/>
    <mergeCell ref="A68:A69"/>
    <mergeCell ref="B68:B69"/>
    <mergeCell ref="C68:C69"/>
    <mergeCell ref="G68:G69"/>
    <mergeCell ref="K68:K69"/>
    <mergeCell ref="L68:L69"/>
    <mergeCell ref="A74:A75"/>
    <mergeCell ref="B74:B75"/>
    <mergeCell ref="C74:C75"/>
    <mergeCell ref="G74:G75"/>
    <mergeCell ref="K74:K75"/>
    <mergeCell ref="L74:L75"/>
    <mergeCell ref="A72:A73"/>
    <mergeCell ref="B72:B73"/>
    <mergeCell ref="C72:C73"/>
    <mergeCell ref="G72:G73"/>
    <mergeCell ref="K72:K73"/>
    <mergeCell ref="L72:L73"/>
    <mergeCell ref="A78:A79"/>
    <mergeCell ref="B78:B79"/>
    <mergeCell ref="C78:C79"/>
    <mergeCell ref="G78:G79"/>
    <mergeCell ref="K78:K79"/>
    <mergeCell ref="L78:L79"/>
    <mergeCell ref="A76:A77"/>
    <mergeCell ref="B76:B77"/>
    <mergeCell ref="C76:C77"/>
    <mergeCell ref="G76:G77"/>
    <mergeCell ref="K76:K77"/>
    <mergeCell ref="L76:L77"/>
    <mergeCell ref="A84:L84"/>
    <mergeCell ref="A82:A83"/>
    <mergeCell ref="B82:B83"/>
    <mergeCell ref="C82:C83"/>
    <mergeCell ref="G82:G83"/>
    <mergeCell ref="K82:K83"/>
    <mergeCell ref="L82:L83"/>
    <mergeCell ref="A80:A81"/>
    <mergeCell ref="B80:B81"/>
    <mergeCell ref="C80:C81"/>
    <mergeCell ref="G80:G81"/>
    <mergeCell ref="K80:K81"/>
    <mergeCell ref="L80:L8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70EE-CBA7-430A-BC11-5780FFB9B88C}">
  <dimension ref="A1:Q57"/>
  <sheetViews>
    <sheetView topLeftCell="A34" workbookViewId="0">
      <selection activeCell="A56" sqref="A56:Q56"/>
    </sheetView>
  </sheetViews>
  <sheetFormatPr defaultRowHeight="16.2" x14ac:dyDescent="0.3"/>
  <sheetData>
    <row r="1" spans="1:17" ht="16.8" thickTop="1" x14ac:dyDescent="0.3">
      <c r="A1" s="102" t="s">
        <v>6</v>
      </c>
      <c r="B1" s="195"/>
      <c r="C1" s="77" t="s">
        <v>54</v>
      </c>
      <c r="D1" s="78"/>
      <c r="E1" s="78"/>
      <c r="F1" s="79"/>
      <c r="G1" s="77" t="s">
        <v>53</v>
      </c>
      <c r="H1" s="78"/>
      <c r="I1" s="78"/>
      <c r="J1" s="78"/>
      <c r="K1" s="78"/>
      <c r="L1" s="79"/>
      <c r="M1" s="77" t="s">
        <v>55</v>
      </c>
      <c r="N1" s="78"/>
      <c r="O1" s="78"/>
      <c r="P1" s="78"/>
      <c r="Q1" s="79"/>
    </row>
    <row r="2" spans="1:17" ht="16.8" thickBot="1" x14ac:dyDescent="0.35">
      <c r="A2" s="85" t="s">
        <v>1</v>
      </c>
      <c r="B2" s="86"/>
      <c r="C2" s="80"/>
      <c r="D2" s="81"/>
      <c r="E2" s="81"/>
      <c r="F2" s="82"/>
      <c r="G2" s="80"/>
      <c r="H2" s="81"/>
      <c r="I2" s="81"/>
      <c r="J2" s="81"/>
      <c r="K2" s="81"/>
      <c r="L2" s="82"/>
      <c r="M2" s="80"/>
      <c r="N2" s="81"/>
      <c r="O2" s="81"/>
      <c r="P2" s="81"/>
      <c r="Q2" s="82"/>
    </row>
    <row r="3" spans="1:17" ht="16.8" thickBot="1" x14ac:dyDescent="0.35">
      <c r="A3" s="50" t="s">
        <v>3</v>
      </c>
      <c r="B3" s="4" t="s">
        <v>4</v>
      </c>
      <c r="C3" s="5">
        <v>5</v>
      </c>
      <c r="D3" s="5">
        <v>6</v>
      </c>
      <c r="E3" s="5">
        <v>7</v>
      </c>
      <c r="F3" s="51">
        <v>8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1">
        <v>10</v>
      </c>
      <c r="M3" s="5">
        <v>6</v>
      </c>
      <c r="N3" s="5">
        <v>7</v>
      </c>
      <c r="O3" s="5">
        <v>8</v>
      </c>
      <c r="P3" s="5">
        <v>9</v>
      </c>
      <c r="Q3" s="51">
        <v>10</v>
      </c>
    </row>
    <row r="4" spans="1:17" ht="16.8" thickTop="1" x14ac:dyDescent="0.3">
      <c r="A4" s="185"/>
      <c r="B4" s="74">
        <v>3</v>
      </c>
      <c r="C4" s="31">
        <v>-20</v>
      </c>
      <c r="D4" s="31">
        <v>-20</v>
      </c>
      <c r="E4" s="31">
        <v>-20</v>
      </c>
      <c r="F4" s="31">
        <v>-20</v>
      </c>
      <c r="G4" s="31">
        <v>-20</v>
      </c>
      <c r="H4" s="31">
        <v>-20</v>
      </c>
      <c r="I4" s="31">
        <v>-20</v>
      </c>
      <c r="J4" s="31">
        <v>-20</v>
      </c>
      <c r="K4" s="31">
        <v>-20</v>
      </c>
      <c r="L4" s="32">
        <v>-20</v>
      </c>
      <c r="M4" s="31">
        <v>-26</v>
      </c>
      <c r="N4" s="31">
        <v>-26</v>
      </c>
      <c r="O4" s="31">
        <v>-26</v>
      </c>
      <c r="P4" s="31">
        <v>-26</v>
      </c>
      <c r="Q4" s="31">
        <v>-26</v>
      </c>
    </row>
    <row r="5" spans="1:17" ht="16.8" thickBot="1" x14ac:dyDescent="0.35">
      <c r="A5" s="76"/>
      <c r="B5" s="64"/>
      <c r="C5" s="34">
        <v>-24</v>
      </c>
      <c r="D5" s="34">
        <v>-26</v>
      </c>
      <c r="E5" s="34">
        <v>-30</v>
      </c>
      <c r="F5" s="34">
        <v>-34</v>
      </c>
      <c r="G5" s="34">
        <v>-24</v>
      </c>
      <c r="H5" s="34">
        <v>-26</v>
      </c>
      <c r="I5" s="34">
        <v>-30</v>
      </c>
      <c r="J5" s="34">
        <v>-34</v>
      </c>
      <c r="K5" s="34">
        <v>-45</v>
      </c>
      <c r="L5" s="35">
        <v>-60</v>
      </c>
      <c r="M5" s="34">
        <v>-32</v>
      </c>
      <c r="N5" s="34">
        <v>-36</v>
      </c>
      <c r="O5" s="34">
        <v>-40</v>
      </c>
      <c r="P5" s="34">
        <v>-51</v>
      </c>
      <c r="Q5" s="34">
        <v>-66</v>
      </c>
    </row>
    <row r="6" spans="1:17" x14ac:dyDescent="0.3">
      <c r="A6" s="61">
        <v>3</v>
      </c>
      <c r="B6" s="63">
        <v>6</v>
      </c>
      <c r="C6" s="31">
        <v>-27</v>
      </c>
      <c r="D6" s="31">
        <v>-25</v>
      </c>
      <c r="E6" s="31">
        <v>-24</v>
      </c>
      <c r="F6" s="31">
        <v>-28</v>
      </c>
      <c r="G6" s="31">
        <v>-27</v>
      </c>
      <c r="H6" s="31">
        <v>-25</v>
      </c>
      <c r="I6" s="31">
        <v>-24</v>
      </c>
      <c r="J6" s="31">
        <v>-28</v>
      </c>
      <c r="K6" s="31">
        <v>-28</v>
      </c>
      <c r="L6" s="32">
        <v>-28</v>
      </c>
      <c r="M6" s="31">
        <v>-32</v>
      </c>
      <c r="N6" s="31">
        <v>-31</v>
      </c>
      <c r="O6" s="31">
        <v>-35</v>
      </c>
      <c r="P6" s="31">
        <v>-35</v>
      </c>
      <c r="Q6" s="31">
        <v>-35</v>
      </c>
    </row>
    <row r="7" spans="1:17" ht="16.8" thickBot="1" x14ac:dyDescent="0.35">
      <c r="A7" s="62"/>
      <c r="B7" s="64"/>
      <c r="C7" s="34">
        <v>-32</v>
      </c>
      <c r="D7" s="34">
        <v>-33</v>
      </c>
      <c r="E7" s="34">
        <v>-36</v>
      </c>
      <c r="F7" s="34">
        <v>-46</v>
      </c>
      <c r="G7" s="34">
        <v>-32</v>
      </c>
      <c r="H7" s="34">
        <v>-33</v>
      </c>
      <c r="I7" s="34">
        <v>-36</v>
      </c>
      <c r="J7" s="34">
        <v>-46</v>
      </c>
      <c r="K7" s="34">
        <v>-58</v>
      </c>
      <c r="L7" s="35">
        <v>-76</v>
      </c>
      <c r="M7" s="34">
        <v>-40</v>
      </c>
      <c r="N7" s="34">
        <v>-43</v>
      </c>
      <c r="O7" s="34">
        <v>-53</v>
      </c>
      <c r="P7" s="34">
        <v>-65</v>
      </c>
      <c r="Q7" s="34">
        <v>-83</v>
      </c>
    </row>
    <row r="8" spans="1:17" x14ac:dyDescent="0.3">
      <c r="A8" s="61">
        <v>6</v>
      </c>
      <c r="B8" s="63">
        <v>10</v>
      </c>
      <c r="C8" s="31">
        <v>-32</v>
      </c>
      <c r="D8" s="31">
        <v>-31</v>
      </c>
      <c r="E8" s="31">
        <v>-28</v>
      </c>
      <c r="F8" s="31">
        <v>-34</v>
      </c>
      <c r="G8" s="31">
        <v>-32</v>
      </c>
      <c r="H8" s="31">
        <v>-31</v>
      </c>
      <c r="I8" s="31">
        <v>-28</v>
      </c>
      <c r="J8" s="31">
        <v>-34</v>
      </c>
      <c r="K8" s="31">
        <v>-34</v>
      </c>
      <c r="L8" s="32">
        <v>-34</v>
      </c>
      <c r="M8" s="31">
        <v>-39</v>
      </c>
      <c r="N8" s="31">
        <v>-36</v>
      </c>
      <c r="O8" s="31">
        <v>-42</v>
      </c>
      <c r="P8" s="31">
        <v>-42</v>
      </c>
      <c r="Q8" s="31">
        <v>-42</v>
      </c>
    </row>
    <row r="9" spans="1:17" ht="16.8" thickBot="1" x14ac:dyDescent="0.35">
      <c r="A9" s="62"/>
      <c r="B9" s="64"/>
      <c r="C9" s="34">
        <v>-38</v>
      </c>
      <c r="D9" s="34">
        <v>-40</v>
      </c>
      <c r="E9" s="34">
        <v>-43</v>
      </c>
      <c r="F9" s="34">
        <v>-56</v>
      </c>
      <c r="G9" s="34">
        <v>-38</v>
      </c>
      <c r="H9" s="34">
        <v>-40</v>
      </c>
      <c r="I9" s="34">
        <v>-43</v>
      </c>
      <c r="J9" s="34">
        <v>-56</v>
      </c>
      <c r="K9" s="34">
        <v>-70</v>
      </c>
      <c r="L9" s="35">
        <v>-92</v>
      </c>
      <c r="M9" s="34">
        <v>-48</v>
      </c>
      <c r="N9" s="34">
        <v>-51</v>
      </c>
      <c r="O9" s="34">
        <v>-64</v>
      </c>
      <c r="P9" s="34">
        <v>-78</v>
      </c>
      <c r="Q9" s="34">
        <v>-100</v>
      </c>
    </row>
    <row r="10" spans="1:17" x14ac:dyDescent="0.3">
      <c r="A10" s="61">
        <v>10</v>
      </c>
      <c r="B10" s="63">
        <v>14</v>
      </c>
      <c r="C10" s="31">
        <v>-37</v>
      </c>
      <c r="D10" s="31">
        <v>-37</v>
      </c>
      <c r="E10" s="31">
        <v>-33</v>
      </c>
      <c r="F10" s="31">
        <v>-40</v>
      </c>
      <c r="G10" s="31">
        <v>-37</v>
      </c>
      <c r="H10" s="31">
        <v>-37</v>
      </c>
      <c r="I10" s="31">
        <v>-33</v>
      </c>
      <c r="J10" s="31">
        <v>-40</v>
      </c>
      <c r="K10" s="31">
        <v>-40</v>
      </c>
      <c r="L10" s="32">
        <v>-40</v>
      </c>
      <c r="M10" s="31">
        <v>-47</v>
      </c>
      <c r="N10" s="31">
        <v>-43</v>
      </c>
      <c r="O10" s="31">
        <v>-50</v>
      </c>
      <c r="P10" s="31">
        <v>-50</v>
      </c>
      <c r="Q10" s="31">
        <v>-50</v>
      </c>
    </row>
    <row r="11" spans="1:17" ht="16.8" thickBot="1" x14ac:dyDescent="0.35">
      <c r="A11" s="62"/>
      <c r="B11" s="64"/>
      <c r="C11" s="34">
        <v>-45</v>
      </c>
      <c r="D11" s="34">
        <v>-48</v>
      </c>
      <c r="E11" s="34">
        <v>-51</v>
      </c>
      <c r="F11" s="34">
        <v>-67</v>
      </c>
      <c r="G11" s="34">
        <v>-45</v>
      </c>
      <c r="H11" s="34">
        <v>-48</v>
      </c>
      <c r="I11" s="34">
        <v>-51</v>
      </c>
      <c r="J11" s="34">
        <v>-67</v>
      </c>
      <c r="K11" s="34">
        <v>-83</v>
      </c>
      <c r="L11" s="35">
        <v>-110</v>
      </c>
      <c r="M11" s="34">
        <v>-58</v>
      </c>
      <c r="N11" s="34">
        <v>-61</v>
      </c>
      <c r="O11" s="34">
        <v>-77</v>
      </c>
      <c r="P11" s="34">
        <v>-93</v>
      </c>
      <c r="Q11" s="34">
        <v>-120</v>
      </c>
    </row>
    <row r="12" spans="1:17" x14ac:dyDescent="0.3">
      <c r="A12" s="61">
        <v>14</v>
      </c>
      <c r="B12" s="63">
        <v>18</v>
      </c>
      <c r="C12" s="31">
        <v>-36</v>
      </c>
      <c r="D12" s="31">
        <v>-36</v>
      </c>
      <c r="E12" s="31">
        <v>-32</v>
      </c>
      <c r="F12" s="32">
        <v>-39</v>
      </c>
      <c r="G12" s="31">
        <v>-42</v>
      </c>
      <c r="H12" s="31">
        <v>-42</v>
      </c>
      <c r="I12" s="31">
        <v>-38</v>
      </c>
      <c r="J12" s="31">
        <v>-45</v>
      </c>
      <c r="K12" s="31">
        <v>-45</v>
      </c>
      <c r="L12" s="32">
        <v>-45</v>
      </c>
      <c r="M12" s="31">
        <v>-57</v>
      </c>
      <c r="N12" s="31">
        <v>-53</v>
      </c>
      <c r="O12" s="31">
        <v>-60</v>
      </c>
      <c r="P12" s="31">
        <v>-60</v>
      </c>
      <c r="Q12" s="31">
        <v>-60</v>
      </c>
    </row>
    <row r="13" spans="1:17" ht="16.8" thickBot="1" x14ac:dyDescent="0.35">
      <c r="A13" s="62"/>
      <c r="B13" s="64"/>
      <c r="C13" s="34">
        <v>-44</v>
      </c>
      <c r="D13" s="34">
        <v>-47</v>
      </c>
      <c r="E13" s="34">
        <v>-50</v>
      </c>
      <c r="F13" s="35">
        <v>-66</v>
      </c>
      <c r="G13" s="34">
        <v>-50</v>
      </c>
      <c r="H13" s="34">
        <v>-53</v>
      </c>
      <c r="I13" s="34">
        <v>-56</v>
      </c>
      <c r="J13" s="34">
        <v>-72</v>
      </c>
      <c r="K13" s="34">
        <v>-88</v>
      </c>
      <c r="L13" s="35">
        <v>-115</v>
      </c>
      <c r="M13" s="34">
        <v>-68</v>
      </c>
      <c r="N13" s="34">
        <v>-71</v>
      </c>
      <c r="O13" s="34">
        <v>-87</v>
      </c>
      <c r="P13" s="34">
        <v>-103</v>
      </c>
      <c r="Q13" s="34">
        <v>-130</v>
      </c>
    </row>
    <row r="14" spans="1:17" x14ac:dyDescent="0.3">
      <c r="A14" s="61">
        <v>18</v>
      </c>
      <c r="B14" s="63">
        <v>24</v>
      </c>
      <c r="C14" s="31">
        <v>-44</v>
      </c>
      <c r="D14" s="31">
        <v>-43</v>
      </c>
      <c r="E14" s="31">
        <v>-39</v>
      </c>
      <c r="F14" s="32">
        <v>-47</v>
      </c>
      <c r="G14" s="31">
        <v>-51</v>
      </c>
      <c r="H14" s="31">
        <v>-50</v>
      </c>
      <c r="I14" s="31">
        <v>-46</v>
      </c>
      <c r="J14" s="31">
        <v>-54</v>
      </c>
      <c r="K14" s="31">
        <v>-54</v>
      </c>
      <c r="L14" s="32">
        <v>-54</v>
      </c>
      <c r="M14" s="31">
        <v>-59</v>
      </c>
      <c r="N14" s="31">
        <v>-55</v>
      </c>
      <c r="O14" s="31">
        <v>-63</v>
      </c>
      <c r="P14" s="31">
        <v>-63</v>
      </c>
      <c r="Q14" s="32">
        <v>-63</v>
      </c>
    </row>
    <row r="15" spans="1:17" ht="16.8" thickBot="1" x14ac:dyDescent="0.35">
      <c r="A15" s="62"/>
      <c r="B15" s="64"/>
      <c r="C15" s="34">
        <v>-53</v>
      </c>
      <c r="D15" s="34">
        <v>-56</v>
      </c>
      <c r="E15" s="34">
        <v>-60</v>
      </c>
      <c r="F15" s="35">
        <v>-80</v>
      </c>
      <c r="G15" s="34">
        <v>-60</v>
      </c>
      <c r="H15" s="34">
        <v>-63</v>
      </c>
      <c r="I15" s="34">
        <v>-67</v>
      </c>
      <c r="J15" s="34">
        <v>-87</v>
      </c>
      <c r="K15" s="34">
        <v>-106</v>
      </c>
      <c r="L15" s="35">
        <v>-138</v>
      </c>
      <c r="M15" s="34">
        <v>-72</v>
      </c>
      <c r="N15" s="34">
        <v>-76</v>
      </c>
      <c r="O15" s="34">
        <v>-96</v>
      </c>
      <c r="P15" s="34">
        <v>-115</v>
      </c>
      <c r="Q15" s="35">
        <v>-147</v>
      </c>
    </row>
    <row r="16" spans="1:17" x14ac:dyDescent="0.3">
      <c r="A16" s="61">
        <v>24</v>
      </c>
      <c r="B16" s="63">
        <v>30</v>
      </c>
      <c r="C16" s="31">
        <v>-52</v>
      </c>
      <c r="D16" s="31">
        <v>-51</v>
      </c>
      <c r="E16" s="31">
        <v>-47</v>
      </c>
      <c r="F16" s="32">
        <v>-55</v>
      </c>
      <c r="G16" s="31">
        <v>-61</v>
      </c>
      <c r="H16" s="31">
        <v>-60</v>
      </c>
      <c r="I16" s="31">
        <v>-56</v>
      </c>
      <c r="J16" s="31">
        <v>-64</v>
      </c>
      <c r="K16" s="31">
        <v>-64</v>
      </c>
      <c r="L16" s="32">
        <v>-64</v>
      </c>
      <c r="M16" s="31">
        <v>-71</v>
      </c>
      <c r="N16" s="31">
        <v>-67</v>
      </c>
      <c r="O16" s="31">
        <v>-75</v>
      </c>
      <c r="P16" s="31">
        <v>-75</v>
      </c>
      <c r="Q16" s="32">
        <v>-75</v>
      </c>
    </row>
    <row r="17" spans="1:17" ht="16.8" thickBot="1" x14ac:dyDescent="0.35">
      <c r="A17" s="62"/>
      <c r="B17" s="64"/>
      <c r="C17" s="34">
        <v>-61</v>
      </c>
      <c r="D17" s="34">
        <v>-64</v>
      </c>
      <c r="E17" s="34">
        <v>-68</v>
      </c>
      <c r="F17" s="35">
        <v>-88</v>
      </c>
      <c r="G17" s="34">
        <v>-70</v>
      </c>
      <c r="H17" s="34">
        <v>-73</v>
      </c>
      <c r="I17" s="34">
        <v>-77</v>
      </c>
      <c r="J17" s="34">
        <v>-97</v>
      </c>
      <c r="K17" s="34">
        <v>-116</v>
      </c>
      <c r="L17" s="35">
        <v>-148</v>
      </c>
      <c r="M17" s="34">
        <v>-84</v>
      </c>
      <c r="N17" s="34">
        <v>-88</v>
      </c>
      <c r="O17" s="34">
        <v>-108</v>
      </c>
      <c r="P17" s="34">
        <v>-127</v>
      </c>
      <c r="Q17" s="35">
        <v>-159</v>
      </c>
    </row>
    <row r="18" spans="1:17" x14ac:dyDescent="0.3">
      <c r="A18" s="61">
        <v>30</v>
      </c>
      <c r="B18" s="63">
        <v>40</v>
      </c>
      <c r="C18" s="31">
        <v>-64</v>
      </c>
      <c r="D18" s="31">
        <v>-63</v>
      </c>
      <c r="E18" s="31">
        <v>-59</v>
      </c>
      <c r="F18" s="32">
        <v>-68</v>
      </c>
      <c r="G18" s="31">
        <v>-76</v>
      </c>
      <c r="H18" s="31">
        <v>-75</v>
      </c>
      <c r="I18" s="31">
        <v>-71</v>
      </c>
      <c r="J18" s="31">
        <v>-80</v>
      </c>
      <c r="K18" s="31">
        <v>-80</v>
      </c>
      <c r="L18" s="32">
        <v>-80</v>
      </c>
      <c r="M18" s="31">
        <v>-89</v>
      </c>
      <c r="N18" s="31">
        <v>-85</v>
      </c>
      <c r="O18" s="31">
        <v>-94</v>
      </c>
      <c r="P18" s="31">
        <v>-94</v>
      </c>
      <c r="Q18" s="32">
        <v>-94</v>
      </c>
    </row>
    <row r="19" spans="1:17" ht="16.8" thickBot="1" x14ac:dyDescent="0.35">
      <c r="A19" s="62"/>
      <c r="B19" s="64"/>
      <c r="C19" s="34">
        <v>-75</v>
      </c>
      <c r="D19" s="34">
        <v>-79</v>
      </c>
      <c r="E19" s="34">
        <v>-84</v>
      </c>
      <c r="F19" s="35">
        <v>-107</v>
      </c>
      <c r="G19" s="34">
        <v>-87</v>
      </c>
      <c r="H19" s="34">
        <v>-91</v>
      </c>
      <c r="I19" s="34">
        <v>-96</v>
      </c>
      <c r="J19" s="34">
        <v>-119</v>
      </c>
      <c r="K19" s="34">
        <v>-142</v>
      </c>
      <c r="L19" s="35">
        <v>-180</v>
      </c>
      <c r="M19" s="34">
        <v>-105</v>
      </c>
      <c r="N19" s="34">
        <v>-110</v>
      </c>
      <c r="O19" s="34">
        <v>-133</v>
      </c>
      <c r="P19" s="34">
        <v>-156</v>
      </c>
      <c r="Q19" s="35">
        <v>-194</v>
      </c>
    </row>
    <row r="20" spans="1:17" x14ac:dyDescent="0.3">
      <c r="A20" s="61">
        <v>40</v>
      </c>
      <c r="B20" s="63">
        <v>50</v>
      </c>
      <c r="C20" s="31">
        <v>-77</v>
      </c>
      <c r="D20" s="31">
        <v>-76</v>
      </c>
      <c r="E20" s="31">
        <v>-72</v>
      </c>
      <c r="F20" s="32">
        <v>-81</v>
      </c>
      <c r="G20" s="31">
        <v>-93</v>
      </c>
      <c r="H20" s="31">
        <v>-92</v>
      </c>
      <c r="I20" s="31">
        <v>-88</v>
      </c>
      <c r="J20" s="31">
        <v>-97</v>
      </c>
      <c r="K20" s="31">
        <v>-97</v>
      </c>
      <c r="L20" s="32">
        <v>-97</v>
      </c>
      <c r="M20" s="31">
        <v>-109</v>
      </c>
      <c r="N20" s="31">
        <v>-105</v>
      </c>
      <c r="O20" s="31">
        <v>-114</v>
      </c>
      <c r="P20" s="31">
        <v>-114</v>
      </c>
      <c r="Q20" s="32">
        <v>-114</v>
      </c>
    </row>
    <row r="21" spans="1:17" ht="16.8" thickBot="1" x14ac:dyDescent="0.35">
      <c r="A21" s="62"/>
      <c r="B21" s="64"/>
      <c r="C21" s="34">
        <v>-88</v>
      </c>
      <c r="D21" s="34">
        <v>-92</v>
      </c>
      <c r="E21" s="34">
        <v>-97</v>
      </c>
      <c r="F21" s="35">
        <v>-120</v>
      </c>
      <c r="G21" s="34">
        <v>-104</v>
      </c>
      <c r="H21" s="34">
        <v>-108</v>
      </c>
      <c r="I21" s="34">
        <v>-113</v>
      </c>
      <c r="J21" s="34">
        <v>-136</v>
      </c>
      <c r="K21" s="34">
        <v>-159</v>
      </c>
      <c r="L21" s="35">
        <v>-197</v>
      </c>
      <c r="M21" s="34">
        <v>-125</v>
      </c>
      <c r="N21" s="34">
        <v>-130</v>
      </c>
      <c r="O21" s="34">
        <v>-153</v>
      </c>
      <c r="P21" s="34">
        <v>-176</v>
      </c>
      <c r="Q21" s="35">
        <v>-214</v>
      </c>
    </row>
    <row r="22" spans="1:17" x14ac:dyDescent="0.3">
      <c r="A22" s="61">
        <v>50</v>
      </c>
      <c r="B22" s="63">
        <v>65</v>
      </c>
      <c r="C22" s="172"/>
      <c r="D22" s="31">
        <v>-96</v>
      </c>
      <c r="E22" s="31">
        <v>-91</v>
      </c>
      <c r="F22" s="32">
        <v>-102</v>
      </c>
      <c r="G22" s="172"/>
      <c r="H22" s="31">
        <v>-116</v>
      </c>
      <c r="I22" s="31">
        <v>-111</v>
      </c>
      <c r="J22" s="31">
        <v>-122</v>
      </c>
      <c r="K22" s="31">
        <v>-122</v>
      </c>
      <c r="L22" s="144"/>
      <c r="M22" s="31">
        <v>-138</v>
      </c>
      <c r="N22" s="31">
        <v>-133</v>
      </c>
      <c r="O22" s="31">
        <v>-144</v>
      </c>
      <c r="P22" s="136"/>
      <c r="Q22" s="144"/>
    </row>
    <row r="23" spans="1:17" ht="16.8" thickBot="1" x14ac:dyDescent="0.35">
      <c r="A23" s="62"/>
      <c r="B23" s="64"/>
      <c r="C23" s="175"/>
      <c r="D23" s="34">
        <v>-115</v>
      </c>
      <c r="E23" s="34">
        <v>-121</v>
      </c>
      <c r="F23" s="35">
        <v>-148</v>
      </c>
      <c r="G23" s="175"/>
      <c r="H23" s="34">
        <v>-135</v>
      </c>
      <c r="I23" s="34">
        <v>-141</v>
      </c>
      <c r="J23" s="34">
        <v>-168</v>
      </c>
      <c r="K23" s="34">
        <v>-196</v>
      </c>
      <c r="L23" s="145"/>
      <c r="M23" s="34">
        <v>-157</v>
      </c>
      <c r="N23" s="34">
        <v>-163</v>
      </c>
      <c r="O23" s="34">
        <v>-190</v>
      </c>
      <c r="P23" s="137"/>
      <c r="Q23" s="145"/>
    </row>
    <row r="24" spans="1:17" x14ac:dyDescent="0.3">
      <c r="A24" s="61">
        <v>65</v>
      </c>
      <c r="B24" s="63">
        <v>80</v>
      </c>
      <c r="C24" s="172"/>
      <c r="D24" s="31">
        <v>-114</v>
      </c>
      <c r="E24" s="31">
        <v>-109</v>
      </c>
      <c r="F24" s="32">
        <v>-120</v>
      </c>
      <c r="G24" s="172"/>
      <c r="H24" s="31">
        <v>-140</v>
      </c>
      <c r="I24" s="31">
        <v>-135</v>
      </c>
      <c r="J24" s="31">
        <v>-146</v>
      </c>
      <c r="K24" s="31">
        <v>-146</v>
      </c>
      <c r="L24" s="144"/>
      <c r="M24" s="31">
        <v>-168</v>
      </c>
      <c r="N24" s="31">
        <v>-163</v>
      </c>
      <c r="O24" s="31">
        <v>-174</v>
      </c>
      <c r="P24" s="136"/>
      <c r="Q24" s="144"/>
    </row>
    <row r="25" spans="1:17" ht="16.8" thickBot="1" x14ac:dyDescent="0.35">
      <c r="A25" s="62"/>
      <c r="B25" s="64"/>
      <c r="C25" s="175"/>
      <c r="D25" s="34">
        <v>-133</v>
      </c>
      <c r="E25" s="34">
        <v>-139</v>
      </c>
      <c r="F25" s="35">
        <v>-166</v>
      </c>
      <c r="G25" s="175"/>
      <c r="H25" s="34">
        <v>-159</v>
      </c>
      <c r="I25" s="34">
        <v>-165</v>
      </c>
      <c r="J25" s="34">
        <v>-192</v>
      </c>
      <c r="K25" s="34">
        <v>-220</v>
      </c>
      <c r="L25" s="145"/>
      <c r="M25" s="34">
        <v>-187</v>
      </c>
      <c r="N25" s="34">
        <v>-193</v>
      </c>
      <c r="O25" s="34">
        <v>-220</v>
      </c>
      <c r="P25" s="137"/>
      <c r="Q25" s="145"/>
    </row>
    <row r="26" spans="1:17" x14ac:dyDescent="0.3">
      <c r="A26" s="61">
        <v>80</v>
      </c>
      <c r="B26" s="192">
        <v>100</v>
      </c>
      <c r="C26" s="172"/>
      <c r="D26" s="31">
        <v>-139</v>
      </c>
      <c r="E26" s="31">
        <v>-133</v>
      </c>
      <c r="F26" s="32">
        <v>-146</v>
      </c>
      <c r="G26" s="172"/>
      <c r="H26" s="31">
        <v>-171</v>
      </c>
      <c r="I26" s="31">
        <v>-165</v>
      </c>
      <c r="J26" s="31">
        <v>-178</v>
      </c>
      <c r="K26" s="31">
        <v>-178</v>
      </c>
      <c r="L26" s="144"/>
      <c r="M26" s="31">
        <v>-207</v>
      </c>
      <c r="N26" s="31">
        <v>-201</v>
      </c>
      <c r="O26" s="31">
        <v>-214</v>
      </c>
      <c r="P26" s="136"/>
      <c r="Q26" s="144"/>
    </row>
    <row r="27" spans="1:17" ht="16.8" thickBot="1" x14ac:dyDescent="0.35">
      <c r="A27" s="62"/>
      <c r="B27" s="194"/>
      <c r="C27" s="175"/>
      <c r="D27" s="34">
        <v>-161</v>
      </c>
      <c r="E27" s="34">
        <v>-168</v>
      </c>
      <c r="F27" s="35">
        <v>-200</v>
      </c>
      <c r="G27" s="175"/>
      <c r="H27" s="34">
        <v>-193</v>
      </c>
      <c r="I27" s="34">
        <v>-200</v>
      </c>
      <c r="J27" s="34">
        <v>-232</v>
      </c>
      <c r="K27" s="34">
        <v>-265</v>
      </c>
      <c r="L27" s="145"/>
      <c r="M27" s="34">
        <v>-229</v>
      </c>
      <c r="N27" s="34">
        <v>-236</v>
      </c>
      <c r="O27" s="34">
        <v>-268</v>
      </c>
      <c r="P27" s="137"/>
      <c r="Q27" s="145"/>
    </row>
    <row r="28" spans="1:17" x14ac:dyDescent="0.3">
      <c r="A28" s="70">
        <v>100</v>
      </c>
      <c r="B28" s="192">
        <v>120</v>
      </c>
      <c r="C28" s="172"/>
      <c r="D28" s="31">
        <v>-165</v>
      </c>
      <c r="E28" s="31">
        <v>-159</v>
      </c>
      <c r="F28" s="32">
        <v>-172</v>
      </c>
      <c r="G28" s="172"/>
      <c r="H28" s="31">
        <v>-203</v>
      </c>
      <c r="I28" s="31">
        <v>-197</v>
      </c>
      <c r="J28" s="31">
        <v>-210</v>
      </c>
      <c r="K28" s="31">
        <v>-210</v>
      </c>
      <c r="L28" s="144"/>
      <c r="M28" s="31">
        <v>-247</v>
      </c>
      <c r="N28" s="31">
        <v>-241</v>
      </c>
      <c r="O28" s="31">
        <v>-254</v>
      </c>
      <c r="P28" s="136"/>
      <c r="Q28" s="144"/>
    </row>
    <row r="29" spans="1:17" ht="16.8" thickBot="1" x14ac:dyDescent="0.35">
      <c r="A29" s="71"/>
      <c r="B29" s="194"/>
      <c r="C29" s="175"/>
      <c r="D29" s="34">
        <v>-187</v>
      </c>
      <c r="E29" s="34">
        <v>-194</v>
      </c>
      <c r="F29" s="35">
        <v>-226</v>
      </c>
      <c r="G29" s="175"/>
      <c r="H29" s="34">
        <v>-225</v>
      </c>
      <c r="I29" s="34">
        <v>-232</v>
      </c>
      <c r="J29" s="34">
        <v>-264</v>
      </c>
      <c r="K29" s="34">
        <v>-297</v>
      </c>
      <c r="L29" s="145"/>
      <c r="M29" s="34">
        <v>-269</v>
      </c>
      <c r="N29" s="34">
        <v>-276</v>
      </c>
      <c r="O29" s="34">
        <v>-308</v>
      </c>
      <c r="P29" s="137"/>
      <c r="Q29" s="145"/>
    </row>
    <row r="30" spans="1:17" x14ac:dyDescent="0.3">
      <c r="A30" s="70">
        <v>120</v>
      </c>
      <c r="B30" s="192">
        <v>140</v>
      </c>
      <c r="C30" s="172"/>
      <c r="D30" s="31">
        <v>-195</v>
      </c>
      <c r="E30" s="31">
        <v>-187</v>
      </c>
      <c r="F30" s="32">
        <v>-202</v>
      </c>
      <c r="G30" s="172"/>
      <c r="H30" s="31">
        <v>-241</v>
      </c>
      <c r="I30" s="31">
        <v>-233</v>
      </c>
      <c r="J30" s="31">
        <v>-248</v>
      </c>
      <c r="K30" s="31">
        <v>-248</v>
      </c>
      <c r="L30" s="144"/>
      <c r="M30" s="31">
        <v>-293</v>
      </c>
      <c r="N30" s="31">
        <v>-285</v>
      </c>
      <c r="O30" s="31">
        <v>-300</v>
      </c>
      <c r="P30" s="136"/>
      <c r="Q30" s="144"/>
    </row>
    <row r="31" spans="1:17" ht="16.8" thickBot="1" x14ac:dyDescent="0.35">
      <c r="A31" s="71"/>
      <c r="B31" s="194"/>
      <c r="C31" s="175"/>
      <c r="D31" s="34">
        <v>-220</v>
      </c>
      <c r="E31" s="34">
        <v>-227</v>
      </c>
      <c r="F31" s="35">
        <v>-265</v>
      </c>
      <c r="G31" s="175"/>
      <c r="H31" s="34">
        <v>-266</v>
      </c>
      <c r="I31" s="34">
        <v>-273</v>
      </c>
      <c r="J31" s="34">
        <v>-311</v>
      </c>
      <c r="K31" s="34">
        <v>-348</v>
      </c>
      <c r="L31" s="145"/>
      <c r="M31" s="34">
        <v>-318</v>
      </c>
      <c r="N31" s="34">
        <v>-325</v>
      </c>
      <c r="O31" s="34">
        <v>-363</v>
      </c>
      <c r="P31" s="137"/>
      <c r="Q31" s="145"/>
    </row>
    <row r="32" spans="1:17" x14ac:dyDescent="0.3">
      <c r="A32" s="70">
        <v>140</v>
      </c>
      <c r="B32" s="192">
        <v>160</v>
      </c>
      <c r="C32" s="172"/>
      <c r="D32" s="31">
        <v>-221</v>
      </c>
      <c r="E32" s="31">
        <v>-213</v>
      </c>
      <c r="F32" s="32">
        <v>-228</v>
      </c>
      <c r="G32" s="172"/>
      <c r="H32" s="31">
        <v>-273</v>
      </c>
      <c r="I32" s="31">
        <v>-265</v>
      </c>
      <c r="J32" s="31">
        <v>-280</v>
      </c>
      <c r="K32" s="31">
        <v>-280</v>
      </c>
      <c r="L32" s="144"/>
      <c r="M32" s="31">
        <v>-333</v>
      </c>
      <c r="N32" s="31">
        <v>-325</v>
      </c>
      <c r="O32" s="31">
        <v>-340</v>
      </c>
      <c r="P32" s="136"/>
      <c r="Q32" s="144"/>
    </row>
    <row r="33" spans="1:17" ht="16.8" thickBot="1" x14ac:dyDescent="0.35">
      <c r="A33" s="71"/>
      <c r="B33" s="194"/>
      <c r="C33" s="175"/>
      <c r="D33" s="34">
        <v>-246</v>
      </c>
      <c r="E33" s="34">
        <v>-253</v>
      </c>
      <c r="F33" s="35">
        <v>-291</v>
      </c>
      <c r="G33" s="175"/>
      <c r="H33" s="34">
        <v>-298</v>
      </c>
      <c r="I33" s="34">
        <v>-305</v>
      </c>
      <c r="J33" s="34">
        <v>-343</v>
      </c>
      <c r="K33" s="34">
        <v>-380</v>
      </c>
      <c r="L33" s="145"/>
      <c r="M33" s="34">
        <v>-358</v>
      </c>
      <c r="N33" s="34">
        <v>-365</v>
      </c>
      <c r="O33" s="34">
        <v>-403</v>
      </c>
      <c r="P33" s="137"/>
      <c r="Q33" s="145"/>
    </row>
    <row r="34" spans="1:17" x14ac:dyDescent="0.3">
      <c r="A34" s="70">
        <v>160</v>
      </c>
      <c r="B34" s="192">
        <v>180</v>
      </c>
      <c r="C34" s="172"/>
      <c r="D34" s="31">
        <v>-245</v>
      </c>
      <c r="E34" s="31">
        <v>-237</v>
      </c>
      <c r="F34" s="32">
        <v>-252</v>
      </c>
      <c r="G34" s="172"/>
      <c r="H34" s="31">
        <v>-303</v>
      </c>
      <c r="I34" s="31">
        <v>-295</v>
      </c>
      <c r="J34" s="31">
        <v>-310</v>
      </c>
      <c r="K34" s="31">
        <v>-310</v>
      </c>
      <c r="L34" s="144"/>
      <c r="M34" s="31">
        <v>-373</v>
      </c>
      <c r="N34" s="31">
        <v>-365</v>
      </c>
      <c r="O34" s="31">
        <v>-380</v>
      </c>
      <c r="P34" s="136"/>
      <c r="Q34" s="144"/>
    </row>
    <row r="35" spans="1:17" ht="16.8" thickBot="1" x14ac:dyDescent="0.35">
      <c r="A35" s="71"/>
      <c r="B35" s="194"/>
      <c r="C35" s="175"/>
      <c r="D35" s="34">
        <v>-270</v>
      </c>
      <c r="E35" s="34">
        <v>-277</v>
      </c>
      <c r="F35" s="35">
        <v>-315</v>
      </c>
      <c r="G35" s="175"/>
      <c r="H35" s="34">
        <v>-328</v>
      </c>
      <c r="I35" s="34">
        <v>-335</v>
      </c>
      <c r="J35" s="34">
        <v>-373</v>
      </c>
      <c r="K35" s="34">
        <v>-410</v>
      </c>
      <c r="L35" s="145"/>
      <c r="M35" s="34">
        <v>-398</v>
      </c>
      <c r="N35" s="34">
        <v>-405</v>
      </c>
      <c r="O35" s="34">
        <v>-443</v>
      </c>
      <c r="P35" s="137"/>
      <c r="Q35" s="145"/>
    </row>
    <row r="36" spans="1:17" x14ac:dyDescent="0.3">
      <c r="A36" s="70">
        <v>180</v>
      </c>
      <c r="B36" s="192">
        <v>200</v>
      </c>
      <c r="C36" s="172"/>
      <c r="D36" s="31">
        <v>-275</v>
      </c>
      <c r="E36" s="31">
        <v>-267</v>
      </c>
      <c r="F36" s="32">
        <v>-284</v>
      </c>
      <c r="G36" s="172"/>
      <c r="H36" s="31">
        <v>-341</v>
      </c>
      <c r="I36" s="31">
        <v>-333</v>
      </c>
      <c r="J36" s="31">
        <v>-350</v>
      </c>
      <c r="K36" s="31">
        <v>-350</v>
      </c>
      <c r="L36" s="144"/>
      <c r="M36" s="31">
        <v>-416</v>
      </c>
      <c r="N36" s="31">
        <v>-408</v>
      </c>
      <c r="O36" s="31">
        <v>-425</v>
      </c>
      <c r="P36" s="136"/>
      <c r="Q36" s="144"/>
    </row>
    <row r="37" spans="1:17" ht="16.8" thickBot="1" x14ac:dyDescent="0.35">
      <c r="A37" s="71"/>
      <c r="B37" s="194"/>
      <c r="C37" s="175"/>
      <c r="D37" s="34">
        <v>-304</v>
      </c>
      <c r="E37" s="34">
        <v>-313</v>
      </c>
      <c r="F37" s="35">
        <v>-356</v>
      </c>
      <c r="G37" s="175"/>
      <c r="H37" s="34">
        <v>-370</v>
      </c>
      <c r="I37" s="34">
        <v>-379</v>
      </c>
      <c r="J37" s="34">
        <v>-422</v>
      </c>
      <c r="K37" s="34">
        <v>-465</v>
      </c>
      <c r="L37" s="145"/>
      <c r="M37" s="34">
        <v>-445</v>
      </c>
      <c r="N37" s="34">
        <v>-454</v>
      </c>
      <c r="O37" s="34">
        <v>-497</v>
      </c>
      <c r="P37" s="137"/>
      <c r="Q37" s="145"/>
    </row>
    <row r="38" spans="1:17" x14ac:dyDescent="0.3">
      <c r="A38" s="70">
        <v>200</v>
      </c>
      <c r="B38" s="192">
        <v>225</v>
      </c>
      <c r="C38" s="172"/>
      <c r="D38" s="31">
        <v>-301</v>
      </c>
      <c r="E38" s="31">
        <v>-293</v>
      </c>
      <c r="F38" s="32">
        <v>-310</v>
      </c>
      <c r="G38" s="172"/>
      <c r="H38" s="31">
        <v>-376</v>
      </c>
      <c r="I38" s="31">
        <v>-368</v>
      </c>
      <c r="J38" s="31">
        <v>-385</v>
      </c>
      <c r="K38" s="31">
        <v>-385</v>
      </c>
      <c r="L38" s="144"/>
      <c r="M38" s="31">
        <v>-461</v>
      </c>
      <c r="N38" s="31">
        <v>-453</v>
      </c>
      <c r="O38" s="31">
        <v>-470</v>
      </c>
      <c r="P38" s="136"/>
      <c r="Q38" s="144"/>
    </row>
    <row r="39" spans="1:17" ht="16.8" thickBot="1" x14ac:dyDescent="0.35">
      <c r="A39" s="71"/>
      <c r="B39" s="194"/>
      <c r="C39" s="175"/>
      <c r="D39" s="34">
        <v>-330</v>
      </c>
      <c r="E39" s="34">
        <v>-339</v>
      </c>
      <c r="F39" s="35">
        <v>-382</v>
      </c>
      <c r="G39" s="175"/>
      <c r="H39" s="34">
        <v>-405</v>
      </c>
      <c r="I39" s="34">
        <v>-414</v>
      </c>
      <c r="J39" s="34">
        <v>-457</v>
      </c>
      <c r="K39" s="34">
        <v>-500</v>
      </c>
      <c r="L39" s="145"/>
      <c r="M39" s="34">
        <v>-490</v>
      </c>
      <c r="N39" s="34">
        <v>-499</v>
      </c>
      <c r="O39" s="34">
        <v>-542</v>
      </c>
      <c r="P39" s="137"/>
      <c r="Q39" s="145"/>
    </row>
    <row r="40" spans="1:17" x14ac:dyDescent="0.3">
      <c r="A40" s="70">
        <v>225</v>
      </c>
      <c r="B40" s="192">
        <v>250</v>
      </c>
      <c r="C40" s="172"/>
      <c r="D40" s="31">
        <v>-331</v>
      </c>
      <c r="E40" s="31">
        <v>-323</v>
      </c>
      <c r="F40" s="32">
        <v>-340</v>
      </c>
      <c r="G40" s="172"/>
      <c r="H40" s="31">
        <v>-416</v>
      </c>
      <c r="I40" s="31">
        <v>-408</v>
      </c>
      <c r="J40" s="31">
        <v>-425</v>
      </c>
      <c r="K40" s="31">
        <v>-425</v>
      </c>
      <c r="L40" s="144"/>
      <c r="M40" s="31">
        <v>-511</v>
      </c>
      <c r="N40" s="31">
        <v>-503</v>
      </c>
      <c r="O40" s="31">
        <v>-520</v>
      </c>
      <c r="P40" s="136"/>
      <c r="Q40" s="144"/>
    </row>
    <row r="41" spans="1:17" ht="16.8" thickBot="1" x14ac:dyDescent="0.35">
      <c r="A41" s="71"/>
      <c r="B41" s="194"/>
      <c r="C41" s="175"/>
      <c r="D41" s="34">
        <v>-360</v>
      </c>
      <c r="E41" s="34">
        <v>-369</v>
      </c>
      <c r="F41" s="35">
        <v>-412</v>
      </c>
      <c r="G41" s="175"/>
      <c r="H41" s="34">
        <v>-445</v>
      </c>
      <c r="I41" s="34">
        <v>-454</v>
      </c>
      <c r="J41" s="34">
        <v>-497</v>
      </c>
      <c r="K41" s="34">
        <v>-540</v>
      </c>
      <c r="L41" s="145"/>
      <c r="M41" s="34">
        <v>-540</v>
      </c>
      <c r="N41" s="34">
        <v>-549</v>
      </c>
      <c r="O41" s="34">
        <v>-592</v>
      </c>
      <c r="P41" s="137"/>
      <c r="Q41" s="145"/>
    </row>
    <row r="42" spans="1:17" x14ac:dyDescent="0.3">
      <c r="A42" s="70">
        <v>250</v>
      </c>
      <c r="B42" s="192">
        <v>280</v>
      </c>
      <c r="C42" s="172"/>
      <c r="D42" s="31">
        <v>-376</v>
      </c>
      <c r="E42" s="31">
        <v>-365</v>
      </c>
      <c r="F42" s="32">
        <v>-385</v>
      </c>
      <c r="G42" s="172"/>
      <c r="H42" s="31">
        <v>-466</v>
      </c>
      <c r="I42" s="31">
        <v>-455</v>
      </c>
      <c r="J42" s="31">
        <v>-475</v>
      </c>
      <c r="K42" s="31">
        <v>-475</v>
      </c>
      <c r="L42" s="144"/>
      <c r="M42" s="31">
        <v>-571</v>
      </c>
      <c r="N42" s="31">
        <v>-560</v>
      </c>
      <c r="O42" s="31">
        <v>-580</v>
      </c>
      <c r="P42" s="136"/>
      <c r="Q42" s="144"/>
    </row>
    <row r="43" spans="1:17" ht="16.8" thickBot="1" x14ac:dyDescent="0.35">
      <c r="A43" s="71"/>
      <c r="B43" s="194"/>
      <c r="C43" s="175"/>
      <c r="D43" s="34">
        <v>-408</v>
      </c>
      <c r="E43" s="34">
        <v>-417</v>
      </c>
      <c r="F43" s="35">
        <v>-466</v>
      </c>
      <c r="G43" s="175"/>
      <c r="H43" s="34">
        <v>-498</v>
      </c>
      <c r="I43" s="34">
        <v>-507</v>
      </c>
      <c r="J43" s="34">
        <v>-556</v>
      </c>
      <c r="K43" s="34">
        <v>-605</v>
      </c>
      <c r="L43" s="145"/>
      <c r="M43" s="34">
        <v>-603</v>
      </c>
      <c r="N43" s="34">
        <v>-612</v>
      </c>
      <c r="O43" s="34">
        <v>-661</v>
      </c>
      <c r="P43" s="137"/>
      <c r="Q43" s="145"/>
    </row>
    <row r="44" spans="1:17" x14ac:dyDescent="0.3">
      <c r="A44" s="70">
        <v>280</v>
      </c>
      <c r="B44" s="192">
        <v>315</v>
      </c>
      <c r="C44" s="172"/>
      <c r="D44" s="31">
        <v>-416</v>
      </c>
      <c r="E44" s="31">
        <v>-405</v>
      </c>
      <c r="F44" s="32">
        <v>-425</v>
      </c>
      <c r="G44" s="172"/>
      <c r="H44" s="31">
        <v>-516</v>
      </c>
      <c r="I44" s="31">
        <v>-505</v>
      </c>
      <c r="J44" s="31">
        <v>-525</v>
      </c>
      <c r="K44" s="31">
        <v>-525</v>
      </c>
      <c r="L44" s="144"/>
      <c r="M44" s="31">
        <v>-641</v>
      </c>
      <c r="N44" s="31">
        <v>-630</v>
      </c>
      <c r="O44" s="31">
        <v>-650</v>
      </c>
      <c r="P44" s="136"/>
      <c r="Q44" s="144"/>
    </row>
    <row r="45" spans="1:17" ht="16.8" thickBot="1" x14ac:dyDescent="0.35">
      <c r="A45" s="71"/>
      <c r="B45" s="194"/>
      <c r="C45" s="175"/>
      <c r="D45" s="34">
        <v>-448</v>
      </c>
      <c r="E45" s="34">
        <v>-457</v>
      </c>
      <c r="F45" s="35">
        <v>-506</v>
      </c>
      <c r="G45" s="175"/>
      <c r="H45" s="34">
        <v>-548</v>
      </c>
      <c r="I45" s="34">
        <v>-557</v>
      </c>
      <c r="J45" s="34">
        <v>-606</v>
      </c>
      <c r="K45" s="34">
        <v>-655</v>
      </c>
      <c r="L45" s="145"/>
      <c r="M45" s="34">
        <v>-673</v>
      </c>
      <c r="N45" s="34">
        <v>-682</v>
      </c>
      <c r="O45" s="34">
        <v>-731</v>
      </c>
      <c r="P45" s="137"/>
      <c r="Q45" s="145"/>
    </row>
    <row r="46" spans="1:17" x14ac:dyDescent="0.3">
      <c r="A46" s="70">
        <v>315</v>
      </c>
      <c r="B46" s="192">
        <v>355</v>
      </c>
      <c r="C46" s="172"/>
      <c r="D46" s="31">
        <v>-464</v>
      </c>
      <c r="E46" s="31">
        <v>-454</v>
      </c>
      <c r="F46" s="32">
        <v>-475</v>
      </c>
      <c r="G46" s="172"/>
      <c r="H46" s="31">
        <v>-579</v>
      </c>
      <c r="I46" s="31">
        <v>-569</v>
      </c>
      <c r="J46" s="31">
        <v>-590</v>
      </c>
      <c r="K46" s="31">
        <v>-590</v>
      </c>
      <c r="L46" s="144"/>
      <c r="M46" s="31">
        <v>-719</v>
      </c>
      <c r="N46" s="31">
        <v>-709</v>
      </c>
      <c r="O46" s="31">
        <v>-730</v>
      </c>
      <c r="P46" s="136"/>
      <c r="Q46" s="144"/>
    </row>
    <row r="47" spans="1:17" ht="16.8" thickBot="1" x14ac:dyDescent="0.35">
      <c r="A47" s="71"/>
      <c r="B47" s="194"/>
      <c r="C47" s="175"/>
      <c r="D47" s="34">
        <v>-500</v>
      </c>
      <c r="E47" s="34">
        <v>-511</v>
      </c>
      <c r="F47" s="35">
        <v>-564</v>
      </c>
      <c r="G47" s="175"/>
      <c r="H47" s="34">
        <v>-615</v>
      </c>
      <c r="I47" s="34">
        <v>-626</v>
      </c>
      <c r="J47" s="34">
        <v>-679</v>
      </c>
      <c r="K47" s="34">
        <v>-730</v>
      </c>
      <c r="L47" s="145"/>
      <c r="M47" s="34">
        <v>-755</v>
      </c>
      <c r="N47" s="34">
        <v>-766</v>
      </c>
      <c r="O47" s="34">
        <v>-819</v>
      </c>
      <c r="P47" s="137"/>
      <c r="Q47" s="145"/>
    </row>
    <row r="48" spans="1:17" x14ac:dyDescent="0.3">
      <c r="A48" s="70">
        <v>355</v>
      </c>
      <c r="B48" s="192">
        <v>400</v>
      </c>
      <c r="C48" s="172"/>
      <c r="D48" s="31">
        <v>-519</v>
      </c>
      <c r="E48" s="31">
        <v>-509</v>
      </c>
      <c r="F48" s="32">
        <v>-530</v>
      </c>
      <c r="G48" s="172"/>
      <c r="H48" s="31">
        <v>-649</v>
      </c>
      <c r="I48" s="31">
        <v>-639</v>
      </c>
      <c r="J48" s="31">
        <v>-660</v>
      </c>
      <c r="K48" s="31">
        <v>-660</v>
      </c>
      <c r="L48" s="144"/>
      <c r="M48" s="31">
        <v>-809</v>
      </c>
      <c r="N48" s="31">
        <v>-799</v>
      </c>
      <c r="O48" s="31">
        <v>-820</v>
      </c>
      <c r="P48" s="136"/>
      <c r="Q48" s="144"/>
    </row>
    <row r="49" spans="1:17" ht="16.8" thickBot="1" x14ac:dyDescent="0.35">
      <c r="A49" s="71"/>
      <c r="B49" s="194"/>
      <c r="C49" s="175"/>
      <c r="D49" s="34">
        <v>-555</v>
      </c>
      <c r="E49" s="34">
        <v>-566</v>
      </c>
      <c r="F49" s="35">
        <v>-619</v>
      </c>
      <c r="G49" s="175"/>
      <c r="H49" s="34">
        <v>-685</v>
      </c>
      <c r="I49" s="34">
        <v>-696</v>
      </c>
      <c r="J49" s="34">
        <v>-749</v>
      </c>
      <c r="K49" s="34">
        <v>-800</v>
      </c>
      <c r="L49" s="145"/>
      <c r="M49" s="34">
        <v>-845</v>
      </c>
      <c r="N49" s="34">
        <v>-856</v>
      </c>
      <c r="O49" s="34">
        <v>-909</v>
      </c>
      <c r="P49" s="137"/>
      <c r="Q49" s="145"/>
    </row>
    <row r="50" spans="1:17" x14ac:dyDescent="0.3">
      <c r="A50" s="70">
        <v>400</v>
      </c>
      <c r="B50" s="192">
        <v>450</v>
      </c>
      <c r="C50" s="172"/>
      <c r="D50" s="31">
        <v>-582</v>
      </c>
      <c r="E50" s="31">
        <v>-572</v>
      </c>
      <c r="F50" s="32">
        <v>-595</v>
      </c>
      <c r="G50" s="172"/>
      <c r="H50" s="31">
        <v>-727</v>
      </c>
      <c r="I50" s="31">
        <v>-717</v>
      </c>
      <c r="J50" s="31">
        <v>-740</v>
      </c>
      <c r="K50" s="31">
        <v>-740</v>
      </c>
      <c r="L50" s="144"/>
      <c r="M50" s="31">
        <v>-907</v>
      </c>
      <c r="N50" s="31">
        <v>-897</v>
      </c>
      <c r="O50" s="31">
        <v>-920</v>
      </c>
      <c r="P50" s="136"/>
      <c r="Q50" s="144"/>
    </row>
    <row r="51" spans="1:17" ht="16.8" thickBot="1" x14ac:dyDescent="0.35">
      <c r="A51" s="71"/>
      <c r="B51" s="194"/>
      <c r="C51" s="175"/>
      <c r="D51" s="34">
        <v>-622</v>
      </c>
      <c r="E51" s="34">
        <v>-635</v>
      </c>
      <c r="F51" s="35">
        <v>-692</v>
      </c>
      <c r="G51" s="175"/>
      <c r="H51" s="34">
        <v>-767</v>
      </c>
      <c r="I51" s="34">
        <v>-780</v>
      </c>
      <c r="J51" s="34">
        <v>-837</v>
      </c>
      <c r="K51" s="34">
        <v>-895</v>
      </c>
      <c r="L51" s="145"/>
      <c r="M51" s="34">
        <v>-947</v>
      </c>
      <c r="N51" s="34">
        <v>-960</v>
      </c>
      <c r="O51" s="56">
        <v>-1017</v>
      </c>
      <c r="P51" s="137"/>
      <c r="Q51" s="145"/>
    </row>
    <row r="52" spans="1:17" x14ac:dyDescent="0.3">
      <c r="A52" s="70">
        <v>450</v>
      </c>
      <c r="B52" s="192">
        <v>500</v>
      </c>
      <c r="C52" s="172"/>
      <c r="D52" s="31">
        <v>-647</v>
      </c>
      <c r="E52" s="31">
        <v>-637</v>
      </c>
      <c r="F52" s="32">
        <v>-660</v>
      </c>
      <c r="G52" s="172"/>
      <c r="H52" s="31">
        <v>-807</v>
      </c>
      <c r="I52" s="31">
        <v>-797</v>
      </c>
      <c r="J52" s="31">
        <v>-820</v>
      </c>
      <c r="K52" s="31">
        <v>-820</v>
      </c>
      <c r="L52" s="144"/>
      <c r="M52" s="31">
        <v>-987</v>
      </c>
      <c r="N52" s="31">
        <v>-977</v>
      </c>
      <c r="O52" s="38">
        <v>-1000</v>
      </c>
      <c r="P52" s="136"/>
      <c r="Q52" s="144"/>
    </row>
    <row r="53" spans="1:17" ht="16.8" thickBot="1" x14ac:dyDescent="0.35">
      <c r="A53" s="166"/>
      <c r="B53" s="193"/>
      <c r="C53" s="173"/>
      <c r="D53" s="45">
        <v>-687</v>
      </c>
      <c r="E53" s="45">
        <v>-700</v>
      </c>
      <c r="F53" s="48">
        <v>-757</v>
      </c>
      <c r="G53" s="173"/>
      <c r="H53" s="45">
        <v>-847</v>
      </c>
      <c r="I53" s="45">
        <v>-860</v>
      </c>
      <c r="J53" s="45">
        <v>-917</v>
      </c>
      <c r="K53" s="45">
        <v>-975</v>
      </c>
      <c r="L53" s="154"/>
      <c r="M53" s="59">
        <v>-1027</v>
      </c>
      <c r="N53" s="59">
        <v>-1040</v>
      </c>
      <c r="O53" s="59">
        <v>-1097</v>
      </c>
      <c r="P53" s="157"/>
      <c r="Q53" s="154"/>
    </row>
    <row r="54" spans="1:17" ht="17.399999999999999" thickTop="1" thickBot="1" x14ac:dyDescent="0.35">
      <c r="A54" s="186" t="s">
        <v>56</v>
      </c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8"/>
    </row>
    <row r="55" spans="1:17" ht="18.600000000000001" customHeight="1" thickTop="1" x14ac:dyDescent="0.3">
      <c r="A55" s="186" t="s">
        <v>57</v>
      </c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8"/>
    </row>
    <row r="56" spans="1:17" ht="16.8" thickBot="1" x14ac:dyDescent="0.35">
      <c r="A56" s="189" t="s">
        <v>58</v>
      </c>
      <c r="B56" s="190"/>
      <c r="C56" s="190"/>
      <c r="D56" s="190"/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91"/>
    </row>
    <row r="57" spans="1:17" ht="16.8" thickTop="1" x14ac:dyDescent="0.3"/>
  </sheetData>
  <mergeCells count="138">
    <mergeCell ref="C1:F2"/>
    <mergeCell ref="G1:L2"/>
    <mergeCell ref="M1:Q2"/>
    <mergeCell ref="A4:A5"/>
    <mergeCell ref="B4:B5"/>
    <mergeCell ref="A12:A13"/>
    <mergeCell ref="B12:B13"/>
    <mergeCell ref="A10:A11"/>
    <mergeCell ref="B10:B11"/>
    <mergeCell ref="A8:A9"/>
    <mergeCell ref="B8:B9"/>
    <mergeCell ref="A6:A7"/>
    <mergeCell ref="B6:B7"/>
    <mergeCell ref="A1:B1"/>
    <mergeCell ref="A2:B2"/>
    <mergeCell ref="A18:A19"/>
    <mergeCell ref="B18:B19"/>
    <mergeCell ref="A20:A21"/>
    <mergeCell ref="B20:B21"/>
    <mergeCell ref="A22:A23"/>
    <mergeCell ref="B22:B23"/>
    <mergeCell ref="A14:A15"/>
    <mergeCell ref="B14:B15"/>
    <mergeCell ref="A16:A17"/>
    <mergeCell ref="B16:B17"/>
    <mergeCell ref="C22:C23"/>
    <mergeCell ref="G22:G23"/>
    <mergeCell ref="L22:L23"/>
    <mergeCell ref="P22:P23"/>
    <mergeCell ref="Q22:Q23"/>
    <mergeCell ref="A24:A25"/>
    <mergeCell ref="B24:B25"/>
    <mergeCell ref="C24:C25"/>
    <mergeCell ref="G24:G25"/>
    <mergeCell ref="L24:L25"/>
    <mergeCell ref="P24:P25"/>
    <mergeCell ref="Q24:Q25"/>
    <mergeCell ref="A26:A27"/>
    <mergeCell ref="B26:B27"/>
    <mergeCell ref="C26:C27"/>
    <mergeCell ref="G26:G27"/>
    <mergeCell ref="L26:L27"/>
    <mergeCell ref="P26:P27"/>
    <mergeCell ref="Q26:Q27"/>
    <mergeCell ref="Q28:Q29"/>
    <mergeCell ref="A30:A31"/>
    <mergeCell ref="B30:B31"/>
    <mergeCell ref="C30:C31"/>
    <mergeCell ref="G30:G31"/>
    <mergeCell ref="L30:L31"/>
    <mergeCell ref="P30:P31"/>
    <mergeCell ref="Q30:Q31"/>
    <mergeCell ref="A28:A29"/>
    <mergeCell ref="B28:B29"/>
    <mergeCell ref="C28:C29"/>
    <mergeCell ref="G28:G29"/>
    <mergeCell ref="L28:L29"/>
    <mergeCell ref="P28:P29"/>
    <mergeCell ref="Q32:Q33"/>
    <mergeCell ref="A34:A35"/>
    <mergeCell ref="B34:B35"/>
    <mergeCell ref="C34:C35"/>
    <mergeCell ref="G34:G35"/>
    <mergeCell ref="L34:L35"/>
    <mergeCell ref="P34:P35"/>
    <mergeCell ref="Q34:Q35"/>
    <mergeCell ref="A32:A33"/>
    <mergeCell ref="B32:B33"/>
    <mergeCell ref="C32:C33"/>
    <mergeCell ref="G32:G33"/>
    <mergeCell ref="L32:L33"/>
    <mergeCell ref="P32:P33"/>
    <mergeCell ref="Q36:Q37"/>
    <mergeCell ref="A38:A39"/>
    <mergeCell ref="B38:B39"/>
    <mergeCell ref="C38:C39"/>
    <mergeCell ref="G38:G39"/>
    <mergeCell ref="L38:L39"/>
    <mergeCell ref="P38:P39"/>
    <mergeCell ref="Q38:Q39"/>
    <mergeCell ref="A36:A37"/>
    <mergeCell ref="B36:B37"/>
    <mergeCell ref="C36:C37"/>
    <mergeCell ref="G36:G37"/>
    <mergeCell ref="L36:L37"/>
    <mergeCell ref="P36:P37"/>
    <mergeCell ref="Q40:Q41"/>
    <mergeCell ref="A42:A43"/>
    <mergeCell ref="B42:B43"/>
    <mergeCell ref="C42:C43"/>
    <mergeCell ref="G42:G43"/>
    <mergeCell ref="L42:L43"/>
    <mergeCell ref="P42:P43"/>
    <mergeCell ref="Q42:Q43"/>
    <mergeCell ref="A40:A41"/>
    <mergeCell ref="B40:B41"/>
    <mergeCell ref="C40:C41"/>
    <mergeCell ref="G40:G41"/>
    <mergeCell ref="L40:L41"/>
    <mergeCell ref="P40:P41"/>
    <mergeCell ref="Q44:Q45"/>
    <mergeCell ref="A46:A47"/>
    <mergeCell ref="B46:B47"/>
    <mergeCell ref="C46:C47"/>
    <mergeCell ref="G46:G47"/>
    <mergeCell ref="L46:L47"/>
    <mergeCell ref="P46:P47"/>
    <mergeCell ref="Q46:Q47"/>
    <mergeCell ref="A44:A45"/>
    <mergeCell ref="B44:B45"/>
    <mergeCell ref="C44:C45"/>
    <mergeCell ref="G44:G45"/>
    <mergeCell ref="L44:L45"/>
    <mergeCell ref="P44:P45"/>
    <mergeCell ref="Q48:Q49"/>
    <mergeCell ref="A50:A51"/>
    <mergeCell ref="B50:B51"/>
    <mergeCell ref="C50:C51"/>
    <mergeCell ref="G50:G51"/>
    <mergeCell ref="L50:L51"/>
    <mergeCell ref="P50:P51"/>
    <mergeCell ref="Q50:Q51"/>
    <mergeCell ref="A48:A49"/>
    <mergeCell ref="B48:B49"/>
    <mergeCell ref="C48:C49"/>
    <mergeCell ref="G48:G49"/>
    <mergeCell ref="L48:L49"/>
    <mergeCell ref="P48:P49"/>
    <mergeCell ref="Q52:Q53"/>
    <mergeCell ref="A54:Q54"/>
    <mergeCell ref="A55:Q55"/>
    <mergeCell ref="A56:Q56"/>
    <mergeCell ref="A52:A53"/>
    <mergeCell ref="B52:B53"/>
    <mergeCell ref="C52:C53"/>
    <mergeCell ref="G52:G53"/>
    <mergeCell ref="L52:L53"/>
    <mergeCell ref="P52:P53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982D-98BA-4295-A8E1-C5FAB173B926}">
  <dimension ref="A1:N55"/>
  <sheetViews>
    <sheetView topLeftCell="A28" workbookViewId="0">
      <selection activeCell="A54" sqref="A54:N54"/>
    </sheetView>
  </sheetViews>
  <sheetFormatPr defaultRowHeight="16.2" x14ac:dyDescent="0.3"/>
  <sheetData>
    <row r="1" spans="1:14" ht="16.8" thickTop="1" x14ac:dyDescent="0.3">
      <c r="A1" s="102" t="s">
        <v>6</v>
      </c>
      <c r="B1" s="195"/>
      <c r="C1" s="77" t="s">
        <v>59</v>
      </c>
      <c r="D1" s="78"/>
      <c r="E1" s="78"/>
      <c r="F1" s="78"/>
      <c r="G1" s="78"/>
      <c r="H1" s="79"/>
      <c r="I1" s="77" t="s">
        <v>60</v>
      </c>
      <c r="J1" s="78"/>
      <c r="K1" s="78"/>
      <c r="L1" s="78"/>
      <c r="M1" s="78"/>
      <c r="N1" s="79"/>
    </row>
    <row r="2" spans="1:14" ht="16.8" thickBot="1" x14ac:dyDescent="0.35">
      <c r="A2" s="85" t="s">
        <v>1</v>
      </c>
      <c r="B2" s="86"/>
      <c r="C2" s="80"/>
      <c r="D2" s="81"/>
      <c r="E2" s="81"/>
      <c r="F2" s="81"/>
      <c r="G2" s="81"/>
      <c r="H2" s="82"/>
      <c r="I2" s="80"/>
      <c r="J2" s="81"/>
      <c r="K2" s="81"/>
      <c r="L2" s="81"/>
      <c r="M2" s="81"/>
      <c r="N2" s="82"/>
    </row>
    <row r="3" spans="1:14" ht="16.8" thickBot="1" x14ac:dyDescent="0.35">
      <c r="A3" s="50" t="s">
        <v>3</v>
      </c>
      <c r="B3" s="4" t="s">
        <v>4</v>
      </c>
      <c r="C3" s="5">
        <v>6</v>
      </c>
      <c r="D3" s="5">
        <v>7</v>
      </c>
      <c r="E3" s="5">
        <v>8</v>
      </c>
      <c r="F3" s="5">
        <v>9</v>
      </c>
      <c r="G3" s="5">
        <v>10</v>
      </c>
      <c r="H3" s="51">
        <v>11</v>
      </c>
      <c r="I3" s="5">
        <v>6</v>
      </c>
      <c r="J3" s="5">
        <v>7</v>
      </c>
      <c r="K3" s="5">
        <v>8</v>
      </c>
      <c r="L3" s="5">
        <v>9</v>
      </c>
      <c r="M3" s="5">
        <v>10</v>
      </c>
      <c r="N3" s="51">
        <v>11</v>
      </c>
    </row>
    <row r="4" spans="1:14" ht="16.8" thickTop="1" x14ac:dyDescent="0.3">
      <c r="A4" s="196" t="s">
        <v>5</v>
      </c>
      <c r="B4" s="74">
        <v>3</v>
      </c>
      <c r="C4" s="31">
        <v>-26</v>
      </c>
      <c r="D4" s="31">
        <v>-26</v>
      </c>
      <c r="E4" s="31">
        <v>-26</v>
      </c>
      <c r="F4" s="31">
        <v>-26</v>
      </c>
      <c r="G4" s="31">
        <v>-26</v>
      </c>
      <c r="H4" s="32">
        <v>-26</v>
      </c>
      <c r="I4" s="31">
        <v>-32</v>
      </c>
      <c r="J4" s="31">
        <v>-32</v>
      </c>
      <c r="K4" s="31">
        <v>-32</v>
      </c>
      <c r="L4" s="31">
        <v>-32</v>
      </c>
      <c r="M4" s="31">
        <v>-32</v>
      </c>
      <c r="N4" s="32">
        <v>-32</v>
      </c>
    </row>
    <row r="5" spans="1:14" ht="16.8" thickBot="1" x14ac:dyDescent="0.35">
      <c r="A5" s="180"/>
      <c r="B5" s="64"/>
      <c r="C5" s="34">
        <v>-32</v>
      </c>
      <c r="D5" s="34">
        <v>-36</v>
      </c>
      <c r="E5" s="34">
        <v>-40</v>
      </c>
      <c r="F5" s="34">
        <v>-51</v>
      </c>
      <c r="G5" s="34">
        <v>-66</v>
      </c>
      <c r="H5" s="35">
        <v>-86</v>
      </c>
      <c r="I5" s="34">
        <v>-38</v>
      </c>
      <c r="J5" s="34">
        <v>-42</v>
      </c>
      <c r="K5" s="34">
        <v>-46</v>
      </c>
      <c r="L5" s="34">
        <v>-57</v>
      </c>
      <c r="M5" s="34">
        <v>-72</v>
      </c>
      <c r="N5" s="35">
        <v>-92</v>
      </c>
    </row>
    <row r="6" spans="1:14" x14ac:dyDescent="0.3">
      <c r="A6" s="61">
        <v>3</v>
      </c>
      <c r="B6" s="63">
        <v>6</v>
      </c>
      <c r="C6" s="31">
        <v>-32</v>
      </c>
      <c r="D6" s="31">
        <v>-31</v>
      </c>
      <c r="E6" s="31">
        <v>-35</v>
      </c>
      <c r="F6" s="31">
        <v>-35</v>
      </c>
      <c r="G6" s="31">
        <v>-35</v>
      </c>
      <c r="H6" s="32">
        <v>-35</v>
      </c>
      <c r="I6" s="31">
        <v>-39</v>
      </c>
      <c r="J6" s="31">
        <v>-38</v>
      </c>
      <c r="K6" s="31">
        <v>-42</v>
      </c>
      <c r="L6" s="31">
        <v>-42</v>
      </c>
      <c r="M6" s="31">
        <v>-42</v>
      </c>
      <c r="N6" s="32">
        <v>-42</v>
      </c>
    </row>
    <row r="7" spans="1:14" ht="16.8" thickBot="1" x14ac:dyDescent="0.35">
      <c r="A7" s="62"/>
      <c r="B7" s="64"/>
      <c r="C7" s="34">
        <v>-40</v>
      </c>
      <c r="D7" s="34">
        <v>-43</v>
      </c>
      <c r="E7" s="34">
        <v>-53</v>
      </c>
      <c r="F7" s="34">
        <v>-65</v>
      </c>
      <c r="G7" s="34">
        <v>-83</v>
      </c>
      <c r="H7" s="35">
        <v>-110</v>
      </c>
      <c r="I7" s="34">
        <v>-47</v>
      </c>
      <c r="J7" s="34">
        <v>-50</v>
      </c>
      <c r="K7" s="34">
        <v>-60</v>
      </c>
      <c r="L7" s="34">
        <v>-72</v>
      </c>
      <c r="M7" s="34">
        <v>-90</v>
      </c>
      <c r="N7" s="35">
        <v>-117</v>
      </c>
    </row>
    <row r="8" spans="1:14" x14ac:dyDescent="0.3">
      <c r="A8" s="61">
        <v>6</v>
      </c>
      <c r="B8" s="63">
        <v>10</v>
      </c>
      <c r="C8" s="31">
        <v>-39</v>
      </c>
      <c r="D8" s="31">
        <v>-36</v>
      </c>
      <c r="E8" s="31">
        <v>-42</v>
      </c>
      <c r="F8" s="31">
        <v>-42</v>
      </c>
      <c r="G8" s="31">
        <v>-42</v>
      </c>
      <c r="H8" s="32">
        <v>-42</v>
      </c>
      <c r="I8" s="31">
        <v>-49</v>
      </c>
      <c r="J8" s="31">
        <v>-46</v>
      </c>
      <c r="K8" s="31">
        <v>-52</v>
      </c>
      <c r="L8" s="31">
        <v>-52</v>
      </c>
      <c r="M8" s="31">
        <v>-52</v>
      </c>
      <c r="N8" s="32">
        <v>-52</v>
      </c>
    </row>
    <row r="9" spans="1:14" ht="16.8" thickBot="1" x14ac:dyDescent="0.35">
      <c r="A9" s="62"/>
      <c r="B9" s="64"/>
      <c r="C9" s="34">
        <v>-48</v>
      </c>
      <c r="D9" s="34">
        <v>-51</v>
      </c>
      <c r="E9" s="34">
        <v>-64</v>
      </c>
      <c r="F9" s="34">
        <v>-78</v>
      </c>
      <c r="G9" s="34">
        <v>-100</v>
      </c>
      <c r="H9" s="35">
        <v>-132</v>
      </c>
      <c r="I9" s="34">
        <v>-58</v>
      </c>
      <c r="J9" s="34">
        <v>-61</v>
      </c>
      <c r="K9" s="34">
        <v>-74</v>
      </c>
      <c r="L9" s="34">
        <v>-88</v>
      </c>
      <c r="M9" s="34">
        <v>-110</v>
      </c>
      <c r="N9" s="35">
        <v>-142</v>
      </c>
    </row>
    <row r="10" spans="1:14" x14ac:dyDescent="0.3">
      <c r="A10" s="70">
        <v>10</v>
      </c>
      <c r="B10" s="63">
        <v>14</v>
      </c>
      <c r="C10" s="31">
        <v>-47</v>
      </c>
      <c r="D10" s="31">
        <v>-43</v>
      </c>
      <c r="E10" s="31">
        <v>-50</v>
      </c>
      <c r="F10" s="31">
        <v>-50</v>
      </c>
      <c r="G10" s="31">
        <v>-50</v>
      </c>
      <c r="H10" s="32">
        <v>-50</v>
      </c>
      <c r="I10" s="31">
        <v>-61</v>
      </c>
      <c r="J10" s="31">
        <v>-57</v>
      </c>
      <c r="K10" s="31">
        <v>-64</v>
      </c>
      <c r="L10" s="31">
        <v>-64</v>
      </c>
      <c r="M10" s="31">
        <v>-64</v>
      </c>
      <c r="N10" s="32">
        <v>-64</v>
      </c>
    </row>
    <row r="11" spans="1:14" ht="16.8" thickBot="1" x14ac:dyDescent="0.35">
      <c r="A11" s="71"/>
      <c r="B11" s="64"/>
      <c r="C11" s="34">
        <v>-58</v>
      </c>
      <c r="D11" s="34">
        <v>-61</v>
      </c>
      <c r="E11" s="34">
        <v>-77</v>
      </c>
      <c r="F11" s="34">
        <v>-93</v>
      </c>
      <c r="G11" s="34">
        <v>-120</v>
      </c>
      <c r="H11" s="35">
        <v>-160</v>
      </c>
      <c r="I11" s="34">
        <v>-72</v>
      </c>
      <c r="J11" s="34">
        <v>-75</v>
      </c>
      <c r="K11" s="34">
        <v>-91</v>
      </c>
      <c r="L11" s="34">
        <v>-107</v>
      </c>
      <c r="M11" s="34">
        <v>-134</v>
      </c>
      <c r="N11" s="35">
        <v>-174</v>
      </c>
    </row>
    <row r="12" spans="1:14" x14ac:dyDescent="0.3">
      <c r="A12" s="70">
        <v>14</v>
      </c>
      <c r="B12" s="63">
        <v>18</v>
      </c>
      <c r="C12" s="31">
        <v>-57</v>
      </c>
      <c r="D12" s="31">
        <v>-53</v>
      </c>
      <c r="E12" s="31">
        <v>-60</v>
      </c>
      <c r="F12" s="31">
        <v>-60</v>
      </c>
      <c r="G12" s="31">
        <v>-60</v>
      </c>
      <c r="H12" s="32">
        <v>-60</v>
      </c>
      <c r="I12" s="31">
        <v>-74</v>
      </c>
      <c r="J12" s="31">
        <v>-70</v>
      </c>
      <c r="K12" s="31">
        <v>-77</v>
      </c>
      <c r="L12" s="31">
        <v>-77</v>
      </c>
      <c r="M12" s="31">
        <v>-77</v>
      </c>
      <c r="N12" s="32">
        <v>-77</v>
      </c>
    </row>
    <row r="13" spans="1:14" ht="16.8" thickBot="1" x14ac:dyDescent="0.35">
      <c r="A13" s="71"/>
      <c r="B13" s="64"/>
      <c r="C13" s="34">
        <v>-68</v>
      </c>
      <c r="D13" s="34">
        <v>-71</v>
      </c>
      <c r="E13" s="34">
        <v>-87</v>
      </c>
      <c r="F13" s="34">
        <v>-103</v>
      </c>
      <c r="G13" s="34">
        <v>-130</v>
      </c>
      <c r="H13" s="35">
        <v>-170</v>
      </c>
      <c r="I13" s="34">
        <v>-85</v>
      </c>
      <c r="J13" s="34">
        <v>-88</v>
      </c>
      <c r="K13" s="34">
        <v>-104</v>
      </c>
      <c r="L13" s="34">
        <v>-120</v>
      </c>
      <c r="M13" s="34">
        <v>-147</v>
      </c>
      <c r="N13" s="35">
        <v>-187</v>
      </c>
    </row>
    <row r="14" spans="1:14" x14ac:dyDescent="0.3">
      <c r="A14" s="70">
        <v>18</v>
      </c>
      <c r="B14" s="63">
        <v>24</v>
      </c>
      <c r="C14" s="31">
        <v>-69</v>
      </c>
      <c r="D14" s="31">
        <v>-65</v>
      </c>
      <c r="E14" s="31">
        <v>-73</v>
      </c>
      <c r="F14" s="31">
        <v>-73</v>
      </c>
      <c r="G14" s="31">
        <v>-73</v>
      </c>
      <c r="H14" s="32">
        <v>-73</v>
      </c>
      <c r="I14" s="31">
        <v>-94</v>
      </c>
      <c r="J14" s="31">
        <v>-90</v>
      </c>
      <c r="K14" s="31">
        <v>-98</v>
      </c>
      <c r="L14" s="31">
        <v>-98</v>
      </c>
      <c r="M14" s="31">
        <v>-98</v>
      </c>
      <c r="N14" s="32">
        <v>-98</v>
      </c>
    </row>
    <row r="15" spans="1:14" ht="16.8" thickBot="1" x14ac:dyDescent="0.35">
      <c r="A15" s="71"/>
      <c r="B15" s="64"/>
      <c r="C15" s="34">
        <v>-82</v>
      </c>
      <c r="D15" s="34">
        <v>-86</v>
      </c>
      <c r="E15" s="34">
        <v>-106</v>
      </c>
      <c r="F15" s="34">
        <v>-125</v>
      </c>
      <c r="G15" s="34">
        <v>-157</v>
      </c>
      <c r="H15" s="35">
        <v>-203</v>
      </c>
      <c r="I15" s="34">
        <v>-107</v>
      </c>
      <c r="J15" s="34">
        <v>-111</v>
      </c>
      <c r="K15" s="34">
        <v>-131</v>
      </c>
      <c r="L15" s="34">
        <v>-150</v>
      </c>
      <c r="M15" s="34">
        <v>-182</v>
      </c>
      <c r="N15" s="35">
        <v>-228</v>
      </c>
    </row>
    <row r="16" spans="1:14" x14ac:dyDescent="0.3">
      <c r="A16" s="70">
        <v>24</v>
      </c>
      <c r="B16" s="63">
        <v>30</v>
      </c>
      <c r="C16" s="31">
        <v>-84</v>
      </c>
      <c r="D16" s="31">
        <v>-80</v>
      </c>
      <c r="E16" s="31">
        <v>-88</v>
      </c>
      <c r="F16" s="31">
        <v>-88</v>
      </c>
      <c r="G16" s="31">
        <v>-88</v>
      </c>
      <c r="H16" s="32">
        <v>-88</v>
      </c>
      <c r="I16" s="31">
        <v>-114</v>
      </c>
      <c r="J16" s="31">
        <v>-110</v>
      </c>
      <c r="K16" s="31">
        <v>-118</v>
      </c>
      <c r="L16" s="31">
        <v>-118</v>
      </c>
      <c r="M16" s="31">
        <v>-118</v>
      </c>
      <c r="N16" s="32">
        <v>-118</v>
      </c>
    </row>
    <row r="17" spans="1:14" ht="16.8" thickBot="1" x14ac:dyDescent="0.35">
      <c r="A17" s="71"/>
      <c r="B17" s="64"/>
      <c r="C17" s="34">
        <v>-97</v>
      </c>
      <c r="D17" s="34">
        <v>-101</v>
      </c>
      <c r="E17" s="34">
        <v>-121</v>
      </c>
      <c r="F17" s="34">
        <v>-140</v>
      </c>
      <c r="G17" s="34">
        <v>-172</v>
      </c>
      <c r="H17" s="35">
        <v>-218</v>
      </c>
      <c r="I17" s="34">
        <v>-127</v>
      </c>
      <c r="J17" s="34">
        <v>-131</v>
      </c>
      <c r="K17" s="34">
        <v>-151</v>
      </c>
      <c r="L17" s="34">
        <v>-170</v>
      </c>
      <c r="M17" s="34">
        <v>-202</v>
      </c>
      <c r="N17" s="35">
        <v>-248</v>
      </c>
    </row>
    <row r="18" spans="1:14" x14ac:dyDescent="0.3">
      <c r="A18" s="70">
        <v>30</v>
      </c>
      <c r="B18" s="63">
        <v>40</v>
      </c>
      <c r="C18" s="31">
        <v>-107</v>
      </c>
      <c r="D18" s="31">
        <v>-103</v>
      </c>
      <c r="E18" s="31">
        <v>-112</v>
      </c>
      <c r="F18" s="31">
        <v>-112</v>
      </c>
      <c r="G18" s="31">
        <v>-112</v>
      </c>
      <c r="H18" s="32">
        <v>-112</v>
      </c>
      <c r="I18" s="31">
        <v>-143</v>
      </c>
      <c r="J18" s="31">
        <v>-139</v>
      </c>
      <c r="K18" s="31">
        <v>-148</v>
      </c>
      <c r="L18" s="31">
        <v>-148</v>
      </c>
      <c r="M18" s="31">
        <v>-148</v>
      </c>
      <c r="N18" s="32">
        <v>-148</v>
      </c>
    </row>
    <row r="19" spans="1:14" ht="16.8" thickBot="1" x14ac:dyDescent="0.35">
      <c r="A19" s="71"/>
      <c r="B19" s="64"/>
      <c r="C19" s="34">
        <v>-123</v>
      </c>
      <c r="D19" s="34">
        <v>-128</v>
      </c>
      <c r="E19" s="34">
        <v>-151</v>
      </c>
      <c r="F19" s="34">
        <v>-174</v>
      </c>
      <c r="G19" s="34">
        <v>-212</v>
      </c>
      <c r="H19" s="35">
        <v>-272</v>
      </c>
      <c r="I19" s="34">
        <v>-159</v>
      </c>
      <c r="J19" s="34">
        <v>-164</v>
      </c>
      <c r="K19" s="34">
        <v>-187</v>
      </c>
      <c r="L19" s="34">
        <v>-210</v>
      </c>
      <c r="M19" s="34">
        <v>-248</v>
      </c>
      <c r="N19" s="35">
        <v>-308</v>
      </c>
    </row>
    <row r="20" spans="1:14" x14ac:dyDescent="0.3">
      <c r="A20" s="70">
        <v>40</v>
      </c>
      <c r="B20" s="63">
        <v>50</v>
      </c>
      <c r="C20" s="31">
        <v>-131</v>
      </c>
      <c r="D20" s="31">
        <v>-127</v>
      </c>
      <c r="E20" s="31">
        <v>-136</v>
      </c>
      <c r="F20" s="31">
        <v>-136</v>
      </c>
      <c r="G20" s="31">
        <v>-136</v>
      </c>
      <c r="H20" s="32">
        <v>-136</v>
      </c>
      <c r="I20" s="31">
        <v>-175</v>
      </c>
      <c r="J20" s="31">
        <v>-171</v>
      </c>
      <c r="K20" s="31">
        <v>-180</v>
      </c>
      <c r="L20" s="31">
        <v>-180</v>
      </c>
      <c r="M20" s="31">
        <v>-180</v>
      </c>
      <c r="N20" s="32">
        <v>-180</v>
      </c>
    </row>
    <row r="21" spans="1:14" ht="16.8" thickBot="1" x14ac:dyDescent="0.35">
      <c r="A21" s="71"/>
      <c r="B21" s="64"/>
      <c r="C21" s="34">
        <v>-147</v>
      </c>
      <c r="D21" s="34">
        <v>-152</v>
      </c>
      <c r="E21" s="34">
        <v>-175</v>
      </c>
      <c r="F21" s="34">
        <v>-198</v>
      </c>
      <c r="G21" s="34">
        <v>-236</v>
      </c>
      <c r="H21" s="35">
        <v>-296</v>
      </c>
      <c r="I21" s="34">
        <v>-191</v>
      </c>
      <c r="J21" s="34">
        <v>-196</v>
      </c>
      <c r="K21" s="34">
        <v>-219</v>
      </c>
      <c r="L21" s="34">
        <v>-242</v>
      </c>
      <c r="M21" s="34">
        <v>-280</v>
      </c>
      <c r="N21" s="35">
        <v>-340</v>
      </c>
    </row>
    <row r="22" spans="1:14" x14ac:dyDescent="0.3">
      <c r="A22" s="70">
        <v>50</v>
      </c>
      <c r="B22" s="63">
        <v>65</v>
      </c>
      <c r="C22" s="172"/>
      <c r="D22" s="31">
        <v>-161</v>
      </c>
      <c r="E22" s="31">
        <v>-172</v>
      </c>
      <c r="F22" s="31">
        <v>-172</v>
      </c>
      <c r="G22" s="31">
        <v>-172</v>
      </c>
      <c r="H22" s="32">
        <v>-172</v>
      </c>
      <c r="I22" s="172"/>
      <c r="J22" s="31">
        <v>-215</v>
      </c>
      <c r="K22" s="31">
        <v>-226</v>
      </c>
      <c r="L22" s="31">
        <v>-226</v>
      </c>
      <c r="M22" s="31">
        <v>-226</v>
      </c>
      <c r="N22" s="32">
        <v>-226</v>
      </c>
    </row>
    <row r="23" spans="1:14" ht="16.8" thickBot="1" x14ac:dyDescent="0.35">
      <c r="A23" s="71"/>
      <c r="B23" s="64"/>
      <c r="C23" s="175"/>
      <c r="D23" s="34">
        <v>-191</v>
      </c>
      <c r="E23" s="34">
        <v>-218</v>
      </c>
      <c r="F23" s="34">
        <v>-246</v>
      </c>
      <c r="G23" s="34">
        <v>-292</v>
      </c>
      <c r="H23" s="35">
        <v>-362</v>
      </c>
      <c r="I23" s="175"/>
      <c r="J23" s="34">
        <v>-245</v>
      </c>
      <c r="K23" s="34">
        <v>-272</v>
      </c>
      <c r="L23" s="34">
        <v>-300</v>
      </c>
      <c r="M23" s="34">
        <v>-346</v>
      </c>
      <c r="N23" s="35">
        <v>-416</v>
      </c>
    </row>
    <row r="24" spans="1:14" x14ac:dyDescent="0.3">
      <c r="A24" s="70">
        <v>65</v>
      </c>
      <c r="B24" s="63">
        <v>80</v>
      </c>
      <c r="C24" s="172"/>
      <c r="D24" s="31">
        <v>-199</v>
      </c>
      <c r="E24" s="31">
        <v>-210</v>
      </c>
      <c r="F24" s="31">
        <v>-210</v>
      </c>
      <c r="G24" s="31">
        <v>-210</v>
      </c>
      <c r="H24" s="32">
        <v>-210</v>
      </c>
      <c r="I24" s="172"/>
      <c r="J24" s="31">
        <v>-263</v>
      </c>
      <c r="K24" s="31">
        <v>-274</v>
      </c>
      <c r="L24" s="31">
        <v>-274</v>
      </c>
      <c r="M24" s="31">
        <v>-274</v>
      </c>
      <c r="N24" s="32">
        <v>-274</v>
      </c>
    </row>
    <row r="25" spans="1:14" ht="16.8" thickBot="1" x14ac:dyDescent="0.35">
      <c r="A25" s="71"/>
      <c r="B25" s="64"/>
      <c r="C25" s="175"/>
      <c r="D25" s="34">
        <v>-229</v>
      </c>
      <c r="E25" s="34">
        <v>-256</v>
      </c>
      <c r="F25" s="34">
        <v>-284</v>
      </c>
      <c r="G25" s="34">
        <v>-330</v>
      </c>
      <c r="H25" s="35">
        <v>-400</v>
      </c>
      <c r="I25" s="175"/>
      <c r="J25" s="34">
        <v>-293</v>
      </c>
      <c r="K25" s="34">
        <v>-320</v>
      </c>
      <c r="L25" s="34">
        <v>-348</v>
      </c>
      <c r="M25" s="34">
        <v>-394</v>
      </c>
      <c r="N25" s="35">
        <v>-464</v>
      </c>
    </row>
    <row r="26" spans="1:14" x14ac:dyDescent="0.3">
      <c r="A26" s="70">
        <v>80</v>
      </c>
      <c r="B26" s="63">
        <v>100</v>
      </c>
      <c r="C26" s="172"/>
      <c r="D26" s="31">
        <v>-245</v>
      </c>
      <c r="E26" s="31">
        <v>-258</v>
      </c>
      <c r="F26" s="31">
        <v>-258</v>
      </c>
      <c r="G26" s="31">
        <v>-258</v>
      </c>
      <c r="H26" s="32">
        <v>-258</v>
      </c>
      <c r="I26" s="172"/>
      <c r="J26" s="31">
        <v>-322</v>
      </c>
      <c r="K26" s="31">
        <v>-335</v>
      </c>
      <c r="L26" s="31">
        <v>-335</v>
      </c>
      <c r="M26" s="31">
        <v>-335</v>
      </c>
      <c r="N26" s="32">
        <v>-335</v>
      </c>
    </row>
    <row r="27" spans="1:14" ht="16.8" thickBot="1" x14ac:dyDescent="0.35">
      <c r="A27" s="71"/>
      <c r="B27" s="64"/>
      <c r="C27" s="175"/>
      <c r="D27" s="34">
        <v>-280</v>
      </c>
      <c r="E27" s="34">
        <v>-312</v>
      </c>
      <c r="F27" s="34">
        <v>-345</v>
      </c>
      <c r="G27" s="34">
        <v>-398</v>
      </c>
      <c r="H27" s="35">
        <v>-478</v>
      </c>
      <c r="I27" s="175"/>
      <c r="J27" s="34">
        <v>-357</v>
      </c>
      <c r="K27" s="34">
        <v>-389</v>
      </c>
      <c r="L27" s="34">
        <v>-422</v>
      </c>
      <c r="M27" s="34">
        <v>-475</v>
      </c>
      <c r="N27" s="35">
        <v>-555</v>
      </c>
    </row>
    <row r="28" spans="1:14" x14ac:dyDescent="0.3">
      <c r="A28" s="70">
        <v>100</v>
      </c>
      <c r="B28" s="63">
        <v>120</v>
      </c>
      <c r="C28" s="172"/>
      <c r="D28" s="31">
        <v>-297</v>
      </c>
      <c r="E28" s="31">
        <v>-310</v>
      </c>
      <c r="F28" s="31">
        <v>-310</v>
      </c>
      <c r="G28" s="31">
        <v>-310</v>
      </c>
      <c r="H28" s="32">
        <v>-310</v>
      </c>
      <c r="I28" s="172"/>
      <c r="J28" s="31">
        <v>-387</v>
      </c>
      <c r="K28" s="31">
        <v>-400</v>
      </c>
      <c r="L28" s="31">
        <v>-400</v>
      </c>
      <c r="M28" s="31">
        <v>-400</v>
      </c>
      <c r="N28" s="32">
        <v>-400</v>
      </c>
    </row>
    <row r="29" spans="1:14" ht="16.8" thickBot="1" x14ac:dyDescent="0.35">
      <c r="A29" s="71"/>
      <c r="B29" s="64"/>
      <c r="C29" s="175"/>
      <c r="D29" s="34">
        <v>-332</v>
      </c>
      <c r="E29" s="34">
        <v>-364</v>
      </c>
      <c r="F29" s="34">
        <v>-397</v>
      </c>
      <c r="G29" s="34">
        <v>-450</v>
      </c>
      <c r="H29" s="35">
        <v>-530</v>
      </c>
      <c r="I29" s="175"/>
      <c r="J29" s="34">
        <v>-422</v>
      </c>
      <c r="K29" s="34">
        <v>-454</v>
      </c>
      <c r="L29" s="34">
        <v>-487</v>
      </c>
      <c r="M29" s="34">
        <v>-540</v>
      </c>
      <c r="N29" s="35">
        <v>-620</v>
      </c>
    </row>
    <row r="30" spans="1:14" x14ac:dyDescent="0.3">
      <c r="A30" s="70">
        <v>120</v>
      </c>
      <c r="B30" s="63">
        <v>140</v>
      </c>
      <c r="C30" s="172"/>
      <c r="D30" s="31">
        <v>-350</v>
      </c>
      <c r="E30" s="31">
        <v>-365</v>
      </c>
      <c r="F30" s="31">
        <v>-365</v>
      </c>
      <c r="G30" s="31">
        <v>-365</v>
      </c>
      <c r="H30" s="32">
        <v>-365</v>
      </c>
      <c r="I30" s="172"/>
      <c r="J30" s="31">
        <v>-455</v>
      </c>
      <c r="K30" s="31">
        <v>-470</v>
      </c>
      <c r="L30" s="31">
        <v>-470</v>
      </c>
      <c r="M30" s="31">
        <v>-470</v>
      </c>
      <c r="N30" s="32">
        <v>-470</v>
      </c>
    </row>
    <row r="31" spans="1:14" ht="16.8" thickBot="1" x14ac:dyDescent="0.35">
      <c r="A31" s="71"/>
      <c r="B31" s="64"/>
      <c r="C31" s="175"/>
      <c r="D31" s="34">
        <v>-390</v>
      </c>
      <c r="E31" s="34">
        <v>-428</v>
      </c>
      <c r="F31" s="34">
        <v>-465</v>
      </c>
      <c r="G31" s="34">
        <v>-525</v>
      </c>
      <c r="H31" s="35">
        <v>-615</v>
      </c>
      <c r="I31" s="175"/>
      <c r="J31" s="34">
        <v>-495</v>
      </c>
      <c r="K31" s="34">
        <v>-533</v>
      </c>
      <c r="L31" s="34">
        <v>-570</v>
      </c>
      <c r="M31" s="34">
        <v>-630</v>
      </c>
      <c r="N31" s="35">
        <v>-720</v>
      </c>
    </row>
    <row r="32" spans="1:14" x14ac:dyDescent="0.3">
      <c r="A32" s="70">
        <v>140</v>
      </c>
      <c r="B32" s="63">
        <v>160</v>
      </c>
      <c r="C32" s="172"/>
      <c r="D32" s="31">
        <v>-400</v>
      </c>
      <c r="E32" s="31">
        <v>-415</v>
      </c>
      <c r="F32" s="31">
        <v>-415</v>
      </c>
      <c r="G32" s="31">
        <v>-415</v>
      </c>
      <c r="H32" s="32">
        <v>-415</v>
      </c>
      <c r="I32" s="172"/>
      <c r="J32" s="31">
        <v>-520</v>
      </c>
      <c r="K32" s="31">
        <v>-535</v>
      </c>
      <c r="L32" s="31">
        <v>-535</v>
      </c>
      <c r="M32" s="31">
        <v>-535</v>
      </c>
      <c r="N32" s="32">
        <v>-535</v>
      </c>
    </row>
    <row r="33" spans="1:14" ht="16.8" thickBot="1" x14ac:dyDescent="0.35">
      <c r="A33" s="71"/>
      <c r="B33" s="64"/>
      <c r="C33" s="175"/>
      <c r="D33" s="34">
        <v>-440</v>
      </c>
      <c r="E33" s="34">
        <v>-478</v>
      </c>
      <c r="F33" s="34">
        <v>-515</v>
      </c>
      <c r="G33" s="34">
        <v>-575</v>
      </c>
      <c r="H33" s="35">
        <v>-665</v>
      </c>
      <c r="I33" s="175"/>
      <c r="J33" s="34">
        <v>-560</v>
      </c>
      <c r="K33" s="34">
        <v>-598</v>
      </c>
      <c r="L33" s="34">
        <v>-635</v>
      </c>
      <c r="M33" s="34">
        <v>-695</v>
      </c>
      <c r="N33" s="35">
        <v>-785</v>
      </c>
    </row>
    <row r="34" spans="1:14" x14ac:dyDescent="0.3">
      <c r="A34" s="70">
        <v>160</v>
      </c>
      <c r="B34" s="63">
        <v>180</v>
      </c>
      <c r="C34" s="172"/>
      <c r="D34" s="31">
        <v>-450</v>
      </c>
      <c r="E34" s="31">
        <v>-465</v>
      </c>
      <c r="F34" s="31">
        <v>-465</v>
      </c>
      <c r="G34" s="31">
        <v>-465</v>
      </c>
      <c r="H34" s="32">
        <v>-465</v>
      </c>
      <c r="I34" s="172"/>
      <c r="J34" s="31">
        <v>-585</v>
      </c>
      <c r="K34" s="31">
        <v>-600</v>
      </c>
      <c r="L34" s="31">
        <v>-600</v>
      </c>
      <c r="M34" s="31">
        <v>-600</v>
      </c>
      <c r="N34" s="32">
        <v>-600</v>
      </c>
    </row>
    <row r="35" spans="1:14" ht="16.8" thickBot="1" x14ac:dyDescent="0.35">
      <c r="A35" s="71"/>
      <c r="B35" s="64"/>
      <c r="C35" s="175"/>
      <c r="D35" s="34">
        <v>-490</v>
      </c>
      <c r="E35" s="34">
        <v>-528</v>
      </c>
      <c r="F35" s="34">
        <v>-565</v>
      </c>
      <c r="G35" s="34">
        <v>-625</v>
      </c>
      <c r="H35" s="35">
        <v>-715</v>
      </c>
      <c r="I35" s="175"/>
      <c r="J35" s="34">
        <v>-625</v>
      </c>
      <c r="K35" s="34">
        <v>-663</v>
      </c>
      <c r="L35" s="34">
        <v>-700</v>
      </c>
      <c r="M35" s="34">
        <v>-760</v>
      </c>
      <c r="N35" s="35">
        <v>-850</v>
      </c>
    </row>
    <row r="36" spans="1:14" x14ac:dyDescent="0.3">
      <c r="A36" s="70">
        <v>180</v>
      </c>
      <c r="B36" s="63">
        <v>200</v>
      </c>
      <c r="C36" s="172"/>
      <c r="D36" s="31">
        <v>-503</v>
      </c>
      <c r="E36" s="31">
        <v>-520</v>
      </c>
      <c r="F36" s="31">
        <v>-520</v>
      </c>
      <c r="G36" s="31">
        <v>-520</v>
      </c>
      <c r="H36" s="32">
        <v>-520</v>
      </c>
      <c r="I36" s="172"/>
      <c r="J36" s="31">
        <v>-653</v>
      </c>
      <c r="K36" s="31">
        <v>-670</v>
      </c>
      <c r="L36" s="31">
        <v>-670</v>
      </c>
      <c r="M36" s="31">
        <v>-670</v>
      </c>
      <c r="N36" s="32">
        <v>-670</v>
      </c>
    </row>
    <row r="37" spans="1:14" ht="16.8" thickBot="1" x14ac:dyDescent="0.35">
      <c r="A37" s="71"/>
      <c r="B37" s="64"/>
      <c r="C37" s="175"/>
      <c r="D37" s="34">
        <v>-549</v>
      </c>
      <c r="E37" s="34">
        <v>-592</v>
      </c>
      <c r="F37" s="34">
        <v>-635</v>
      </c>
      <c r="G37" s="34">
        <v>-705</v>
      </c>
      <c r="H37" s="35">
        <v>-810</v>
      </c>
      <c r="I37" s="175"/>
      <c r="J37" s="34">
        <v>-699</v>
      </c>
      <c r="K37" s="34">
        <v>-742</v>
      </c>
      <c r="L37" s="34">
        <v>-785</v>
      </c>
      <c r="M37" s="34">
        <v>-855</v>
      </c>
      <c r="N37" s="35">
        <v>-960</v>
      </c>
    </row>
    <row r="38" spans="1:14" x14ac:dyDescent="0.3">
      <c r="A38" s="70">
        <v>200</v>
      </c>
      <c r="B38" s="63">
        <v>225</v>
      </c>
      <c r="C38" s="172"/>
      <c r="D38" s="31">
        <v>-558</v>
      </c>
      <c r="E38" s="31">
        <v>-575</v>
      </c>
      <c r="F38" s="31">
        <v>-575</v>
      </c>
      <c r="G38" s="31">
        <v>-575</v>
      </c>
      <c r="H38" s="32">
        <v>-575</v>
      </c>
      <c r="I38" s="172"/>
      <c r="J38" s="31">
        <v>-723</v>
      </c>
      <c r="K38" s="31">
        <v>-740</v>
      </c>
      <c r="L38" s="31">
        <v>-740</v>
      </c>
      <c r="M38" s="31">
        <v>-740</v>
      </c>
      <c r="N38" s="32">
        <v>-740</v>
      </c>
    </row>
    <row r="39" spans="1:14" ht="16.8" thickBot="1" x14ac:dyDescent="0.35">
      <c r="A39" s="71"/>
      <c r="B39" s="64"/>
      <c r="C39" s="175"/>
      <c r="D39" s="34">
        <v>-604</v>
      </c>
      <c r="E39" s="34">
        <v>-647</v>
      </c>
      <c r="F39" s="34">
        <v>-690</v>
      </c>
      <c r="G39" s="34">
        <v>-760</v>
      </c>
      <c r="H39" s="35">
        <v>-865</v>
      </c>
      <c r="I39" s="175"/>
      <c r="J39" s="34">
        <v>-769</v>
      </c>
      <c r="K39" s="34">
        <v>-812</v>
      </c>
      <c r="L39" s="34">
        <v>-855</v>
      </c>
      <c r="M39" s="34">
        <v>-925</v>
      </c>
      <c r="N39" s="57">
        <v>-1030</v>
      </c>
    </row>
    <row r="40" spans="1:14" x14ac:dyDescent="0.3">
      <c r="A40" s="70">
        <v>225</v>
      </c>
      <c r="B40" s="63">
        <v>250</v>
      </c>
      <c r="C40" s="172"/>
      <c r="D40" s="31">
        <v>-623</v>
      </c>
      <c r="E40" s="31">
        <v>-640</v>
      </c>
      <c r="F40" s="31">
        <v>-640</v>
      </c>
      <c r="G40" s="31">
        <v>-640</v>
      </c>
      <c r="H40" s="32">
        <v>-640</v>
      </c>
      <c r="I40" s="172"/>
      <c r="J40" s="31">
        <v>-803</v>
      </c>
      <c r="K40" s="31">
        <v>-820</v>
      </c>
      <c r="L40" s="31">
        <v>-820</v>
      </c>
      <c r="M40" s="31">
        <v>-820</v>
      </c>
      <c r="N40" s="32">
        <v>-820</v>
      </c>
    </row>
    <row r="41" spans="1:14" ht="16.8" thickBot="1" x14ac:dyDescent="0.35">
      <c r="A41" s="71"/>
      <c r="B41" s="64"/>
      <c r="C41" s="175"/>
      <c r="D41" s="34">
        <v>-669</v>
      </c>
      <c r="E41" s="34">
        <v>-712</v>
      </c>
      <c r="F41" s="34">
        <v>-755</v>
      </c>
      <c r="G41" s="34">
        <v>-825</v>
      </c>
      <c r="H41" s="35">
        <v>-930</v>
      </c>
      <c r="I41" s="175"/>
      <c r="J41" s="34">
        <v>-849</v>
      </c>
      <c r="K41" s="34">
        <v>-892</v>
      </c>
      <c r="L41" s="34">
        <v>-935</v>
      </c>
      <c r="M41" s="56">
        <v>-1005</v>
      </c>
      <c r="N41" s="57">
        <v>-1110</v>
      </c>
    </row>
    <row r="42" spans="1:14" x14ac:dyDescent="0.3">
      <c r="A42" s="70">
        <v>250</v>
      </c>
      <c r="B42" s="63">
        <v>280</v>
      </c>
      <c r="C42" s="172"/>
      <c r="D42" s="31">
        <v>-690</v>
      </c>
      <c r="E42" s="31">
        <v>-710</v>
      </c>
      <c r="F42" s="31">
        <v>-710</v>
      </c>
      <c r="G42" s="31">
        <v>-710</v>
      </c>
      <c r="H42" s="32">
        <v>-710</v>
      </c>
      <c r="I42" s="172"/>
      <c r="J42" s="31">
        <v>-900</v>
      </c>
      <c r="K42" s="31">
        <v>-920</v>
      </c>
      <c r="L42" s="31">
        <v>-920</v>
      </c>
      <c r="M42" s="31">
        <v>-920</v>
      </c>
      <c r="N42" s="32">
        <v>-920</v>
      </c>
    </row>
    <row r="43" spans="1:14" ht="16.8" thickBot="1" x14ac:dyDescent="0.35">
      <c r="A43" s="71"/>
      <c r="B43" s="64"/>
      <c r="C43" s="175"/>
      <c r="D43" s="34">
        <v>-742</v>
      </c>
      <c r="E43" s="34">
        <v>-791</v>
      </c>
      <c r="F43" s="34">
        <v>-840</v>
      </c>
      <c r="G43" s="34">
        <v>-920</v>
      </c>
      <c r="H43" s="57">
        <v>-1030</v>
      </c>
      <c r="I43" s="175"/>
      <c r="J43" s="34">
        <v>-952</v>
      </c>
      <c r="K43" s="56">
        <v>-1001</v>
      </c>
      <c r="L43" s="56">
        <v>-1050</v>
      </c>
      <c r="M43" s="56">
        <v>-1130</v>
      </c>
      <c r="N43" s="57">
        <v>-1240</v>
      </c>
    </row>
    <row r="44" spans="1:14" x14ac:dyDescent="0.3">
      <c r="A44" s="70">
        <v>280</v>
      </c>
      <c r="B44" s="63">
        <v>315</v>
      </c>
      <c r="C44" s="172"/>
      <c r="D44" s="31">
        <v>-770</v>
      </c>
      <c r="E44" s="31">
        <v>-790</v>
      </c>
      <c r="F44" s="31">
        <v>-790</v>
      </c>
      <c r="G44" s="31">
        <v>-790</v>
      </c>
      <c r="H44" s="32">
        <v>-790</v>
      </c>
      <c r="I44" s="172"/>
      <c r="J44" s="31">
        <v>-980</v>
      </c>
      <c r="K44" s="38">
        <v>-1000</v>
      </c>
      <c r="L44" s="38">
        <v>-1000</v>
      </c>
      <c r="M44" s="38">
        <v>-1000</v>
      </c>
      <c r="N44" s="58">
        <v>-1000</v>
      </c>
    </row>
    <row r="45" spans="1:14" ht="16.8" thickBot="1" x14ac:dyDescent="0.35">
      <c r="A45" s="71"/>
      <c r="B45" s="64"/>
      <c r="C45" s="175"/>
      <c r="D45" s="34">
        <v>-822</v>
      </c>
      <c r="E45" s="34">
        <v>-871</v>
      </c>
      <c r="F45" s="34">
        <v>-920</v>
      </c>
      <c r="G45" s="56">
        <v>-1000</v>
      </c>
      <c r="H45" s="57">
        <v>-1110</v>
      </c>
      <c r="I45" s="175"/>
      <c r="J45" s="56">
        <v>-1032</v>
      </c>
      <c r="K45" s="56">
        <v>-1081</v>
      </c>
      <c r="L45" s="56">
        <v>-1130</v>
      </c>
      <c r="M45" s="56">
        <v>-1210</v>
      </c>
      <c r="N45" s="57">
        <v>-1320</v>
      </c>
    </row>
    <row r="46" spans="1:14" x14ac:dyDescent="0.3">
      <c r="A46" s="70">
        <v>315</v>
      </c>
      <c r="B46" s="63">
        <v>355</v>
      </c>
      <c r="C46" s="172"/>
      <c r="D46" s="31">
        <v>-879</v>
      </c>
      <c r="E46" s="31">
        <v>-900</v>
      </c>
      <c r="F46" s="31">
        <v>-900</v>
      </c>
      <c r="G46" s="31">
        <v>-900</v>
      </c>
      <c r="H46" s="32">
        <v>-900</v>
      </c>
      <c r="I46" s="172"/>
      <c r="J46" s="38">
        <v>-1129</v>
      </c>
      <c r="K46" s="38">
        <v>-1150</v>
      </c>
      <c r="L46" s="38">
        <v>-1150</v>
      </c>
      <c r="M46" s="38">
        <v>-1150</v>
      </c>
      <c r="N46" s="58">
        <v>-1150</v>
      </c>
    </row>
    <row r="47" spans="1:14" ht="16.8" thickBot="1" x14ac:dyDescent="0.35">
      <c r="A47" s="71"/>
      <c r="B47" s="64"/>
      <c r="C47" s="175"/>
      <c r="D47" s="34">
        <v>-936</v>
      </c>
      <c r="E47" s="34">
        <v>-989</v>
      </c>
      <c r="F47" s="56">
        <v>-1040</v>
      </c>
      <c r="G47" s="56">
        <v>-1130</v>
      </c>
      <c r="H47" s="57">
        <v>-1260</v>
      </c>
      <c r="I47" s="175"/>
      <c r="J47" s="56">
        <v>-1186</v>
      </c>
      <c r="K47" s="56">
        <v>-1239</v>
      </c>
      <c r="L47" s="56">
        <v>-1290</v>
      </c>
      <c r="M47" s="56">
        <v>-1380</v>
      </c>
      <c r="N47" s="57">
        <v>-1510</v>
      </c>
    </row>
    <row r="48" spans="1:14" x14ac:dyDescent="0.3">
      <c r="A48" s="70">
        <v>355</v>
      </c>
      <c r="B48" s="63">
        <v>400</v>
      </c>
      <c r="C48" s="172"/>
      <c r="D48" s="31">
        <v>-979</v>
      </c>
      <c r="E48" s="38">
        <v>-1000</v>
      </c>
      <c r="F48" s="38">
        <v>-1000</v>
      </c>
      <c r="G48" s="38">
        <v>-1000</v>
      </c>
      <c r="H48" s="58">
        <v>-1000</v>
      </c>
      <c r="I48" s="172"/>
      <c r="J48" s="38">
        <v>-1279</v>
      </c>
      <c r="K48" s="38">
        <v>-1300</v>
      </c>
      <c r="L48" s="38">
        <v>-1300</v>
      </c>
      <c r="M48" s="38">
        <v>-1300</v>
      </c>
      <c r="N48" s="58">
        <v>-1300</v>
      </c>
    </row>
    <row r="49" spans="1:14" ht="16.8" thickBot="1" x14ac:dyDescent="0.35">
      <c r="A49" s="71"/>
      <c r="B49" s="64"/>
      <c r="C49" s="175"/>
      <c r="D49" s="56">
        <v>-1036</v>
      </c>
      <c r="E49" s="56">
        <v>-1089</v>
      </c>
      <c r="F49" s="56">
        <v>-1140</v>
      </c>
      <c r="G49" s="56">
        <v>-1230</v>
      </c>
      <c r="H49" s="57">
        <v>-1360</v>
      </c>
      <c r="I49" s="175"/>
      <c r="J49" s="56">
        <v>-1336</v>
      </c>
      <c r="K49" s="56">
        <v>-1389</v>
      </c>
      <c r="L49" s="56">
        <v>-1440</v>
      </c>
      <c r="M49" s="56">
        <v>-1530</v>
      </c>
      <c r="N49" s="57">
        <v>-1660</v>
      </c>
    </row>
    <row r="50" spans="1:14" x14ac:dyDescent="0.3">
      <c r="A50" s="70">
        <v>400</v>
      </c>
      <c r="B50" s="63">
        <v>450</v>
      </c>
      <c r="C50" s="172"/>
      <c r="D50" s="38">
        <v>-1077</v>
      </c>
      <c r="E50" s="38">
        <v>-1100</v>
      </c>
      <c r="F50" s="38">
        <v>-1100</v>
      </c>
      <c r="G50" s="38">
        <v>-1100</v>
      </c>
      <c r="H50" s="58">
        <v>-1100</v>
      </c>
      <c r="I50" s="172"/>
      <c r="J50" s="38">
        <v>-1427</v>
      </c>
      <c r="K50" s="38">
        <v>-1450</v>
      </c>
      <c r="L50" s="38">
        <v>-1450</v>
      </c>
      <c r="M50" s="38">
        <v>-1450</v>
      </c>
      <c r="N50" s="58">
        <v>-1450</v>
      </c>
    </row>
    <row r="51" spans="1:14" ht="16.8" thickBot="1" x14ac:dyDescent="0.35">
      <c r="A51" s="71"/>
      <c r="B51" s="64"/>
      <c r="C51" s="175"/>
      <c r="D51" s="56">
        <v>-1140</v>
      </c>
      <c r="E51" s="56">
        <v>-1197</v>
      </c>
      <c r="F51" s="56">
        <v>-1255</v>
      </c>
      <c r="G51" s="56">
        <v>-1350</v>
      </c>
      <c r="H51" s="57">
        <v>-1500</v>
      </c>
      <c r="I51" s="175"/>
      <c r="J51" s="56">
        <v>-1490</v>
      </c>
      <c r="K51" s="56">
        <v>-1547</v>
      </c>
      <c r="L51" s="56">
        <v>-1605</v>
      </c>
      <c r="M51" s="56">
        <v>-1700</v>
      </c>
      <c r="N51" s="57">
        <v>-1850</v>
      </c>
    </row>
    <row r="52" spans="1:14" x14ac:dyDescent="0.3">
      <c r="A52" s="70">
        <v>450</v>
      </c>
      <c r="B52" s="63">
        <v>500</v>
      </c>
      <c r="C52" s="172"/>
      <c r="D52" s="38">
        <v>-1227</v>
      </c>
      <c r="E52" s="38">
        <v>-1250</v>
      </c>
      <c r="F52" s="38">
        <v>-1250</v>
      </c>
      <c r="G52" s="38">
        <v>-1250</v>
      </c>
      <c r="H52" s="58">
        <v>-1250</v>
      </c>
      <c r="I52" s="172"/>
      <c r="J52" s="38">
        <v>-1577</v>
      </c>
      <c r="K52" s="38">
        <v>-1600</v>
      </c>
      <c r="L52" s="38">
        <v>-1600</v>
      </c>
      <c r="M52" s="38">
        <v>-1600</v>
      </c>
      <c r="N52" s="58">
        <v>-1600</v>
      </c>
    </row>
    <row r="53" spans="1:14" ht="16.8" thickBot="1" x14ac:dyDescent="0.35">
      <c r="A53" s="166"/>
      <c r="B53" s="66"/>
      <c r="C53" s="173"/>
      <c r="D53" s="59">
        <v>-1290</v>
      </c>
      <c r="E53" s="59">
        <v>-1347</v>
      </c>
      <c r="F53" s="59">
        <v>-1405</v>
      </c>
      <c r="G53" s="59">
        <v>-1500</v>
      </c>
      <c r="H53" s="60">
        <v>-1650</v>
      </c>
      <c r="I53" s="173"/>
      <c r="J53" s="59">
        <v>-1640</v>
      </c>
      <c r="K53" s="59">
        <v>-1697</v>
      </c>
      <c r="L53" s="59">
        <v>-1755</v>
      </c>
      <c r="M53" s="59">
        <v>-1850</v>
      </c>
      <c r="N53" s="60">
        <v>-2000</v>
      </c>
    </row>
    <row r="54" spans="1:14" ht="17.399999999999999" thickTop="1" thickBot="1" x14ac:dyDescent="0.35">
      <c r="A54" s="181" t="s">
        <v>61</v>
      </c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3"/>
    </row>
    <row r="55" spans="1:14" ht="16.8" thickTop="1" x14ac:dyDescent="0.3"/>
  </sheetData>
  <mergeCells count="87">
    <mergeCell ref="A1:B1"/>
    <mergeCell ref="A2:B2"/>
    <mergeCell ref="C1:H2"/>
    <mergeCell ref="I1:N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C22:C23"/>
    <mergeCell ref="I22:I23"/>
    <mergeCell ref="A24:A25"/>
    <mergeCell ref="B24:B25"/>
    <mergeCell ref="C24:C25"/>
    <mergeCell ref="I24:I25"/>
    <mergeCell ref="A26:A27"/>
    <mergeCell ref="B26:B27"/>
    <mergeCell ref="C26:C27"/>
    <mergeCell ref="I26:I27"/>
    <mergeCell ref="A28:A29"/>
    <mergeCell ref="B28:B29"/>
    <mergeCell ref="C28:C29"/>
    <mergeCell ref="I28:I29"/>
    <mergeCell ref="A30:A31"/>
    <mergeCell ref="B30:B31"/>
    <mergeCell ref="C30:C31"/>
    <mergeCell ref="I30:I31"/>
    <mergeCell ref="A32:A33"/>
    <mergeCell ref="B32:B33"/>
    <mergeCell ref="C32:C33"/>
    <mergeCell ref="I32:I33"/>
    <mergeCell ref="A34:A35"/>
    <mergeCell ref="B34:B35"/>
    <mergeCell ref="C34:C35"/>
    <mergeCell ref="I34:I35"/>
    <mergeCell ref="A36:A37"/>
    <mergeCell ref="B36:B37"/>
    <mergeCell ref="C36:C37"/>
    <mergeCell ref="I36:I37"/>
    <mergeCell ref="A38:A39"/>
    <mergeCell ref="B38:B39"/>
    <mergeCell ref="C38:C39"/>
    <mergeCell ref="I38:I39"/>
    <mergeCell ref="A40:A41"/>
    <mergeCell ref="B40:B41"/>
    <mergeCell ref="C40:C41"/>
    <mergeCell ref="I40:I41"/>
    <mergeCell ref="A42:A43"/>
    <mergeCell ref="B42:B43"/>
    <mergeCell ref="C42:C43"/>
    <mergeCell ref="I42:I43"/>
    <mergeCell ref="A44:A45"/>
    <mergeCell ref="B44:B45"/>
    <mergeCell ref="C44:C45"/>
    <mergeCell ref="I44:I45"/>
    <mergeCell ref="A46:A47"/>
    <mergeCell ref="B46:B47"/>
    <mergeCell ref="C46:C47"/>
    <mergeCell ref="I46:I47"/>
    <mergeCell ref="A48:A49"/>
    <mergeCell ref="B48:B49"/>
    <mergeCell ref="C48:C49"/>
    <mergeCell ref="I48:I49"/>
    <mergeCell ref="A54:N54"/>
    <mergeCell ref="A50:A51"/>
    <mergeCell ref="B50:B51"/>
    <mergeCell ref="C50:C51"/>
    <mergeCell ref="I50:I51"/>
    <mergeCell ref="A52:A53"/>
    <mergeCell ref="B52:B53"/>
    <mergeCell ref="C52:C53"/>
    <mergeCell ref="I52:I53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8240D-FBFF-489C-8E07-25E2F6B1BE42}">
  <dimension ref="A1:L55"/>
  <sheetViews>
    <sheetView topLeftCell="A4" workbookViewId="0">
      <selection activeCell="C4" sqref="C4"/>
    </sheetView>
  </sheetViews>
  <sheetFormatPr defaultRowHeight="16.2" x14ac:dyDescent="0.3"/>
  <sheetData>
    <row r="1" spans="1:12" ht="16.8" thickTop="1" x14ac:dyDescent="0.3">
      <c r="A1" s="102" t="s">
        <v>6</v>
      </c>
      <c r="B1" s="103"/>
      <c r="C1" s="92" t="s">
        <v>62</v>
      </c>
      <c r="D1" s="78"/>
      <c r="E1" s="78"/>
      <c r="F1" s="78"/>
      <c r="G1" s="93"/>
      <c r="H1" s="92" t="s">
        <v>63</v>
      </c>
      <c r="I1" s="78"/>
      <c r="J1" s="78"/>
      <c r="K1" s="78"/>
      <c r="L1" s="79"/>
    </row>
    <row r="2" spans="1:12" ht="16.8" thickBot="1" x14ac:dyDescent="0.35">
      <c r="A2" s="85" t="s">
        <v>1</v>
      </c>
      <c r="B2" s="104"/>
      <c r="C2" s="94"/>
      <c r="D2" s="81"/>
      <c r="E2" s="81"/>
      <c r="F2" s="81"/>
      <c r="G2" s="95"/>
      <c r="H2" s="94"/>
      <c r="I2" s="81"/>
      <c r="J2" s="81"/>
      <c r="K2" s="81"/>
      <c r="L2" s="82"/>
    </row>
    <row r="3" spans="1:12" ht="16.8" thickBot="1" x14ac:dyDescent="0.35">
      <c r="A3" s="39" t="s">
        <v>3</v>
      </c>
      <c r="B3" s="22" t="s">
        <v>4</v>
      </c>
      <c r="C3" s="20">
        <v>7</v>
      </c>
      <c r="D3" s="20">
        <v>8</v>
      </c>
      <c r="E3" s="20">
        <v>9</v>
      </c>
      <c r="F3" s="20">
        <v>10</v>
      </c>
      <c r="G3" s="20">
        <v>11</v>
      </c>
      <c r="H3" s="20">
        <v>7</v>
      </c>
      <c r="I3" s="20">
        <v>8</v>
      </c>
      <c r="J3" s="20">
        <v>9</v>
      </c>
      <c r="K3" s="20">
        <v>10</v>
      </c>
      <c r="L3" s="2">
        <v>11</v>
      </c>
    </row>
    <row r="4" spans="1:12" x14ac:dyDescent="0.3">
      <c r="A4" s="168" t="s">
        <v>5</v>
      </c>
      <c r="B4" s="100">
        <v>3</v>
      </c>
      <c r="C4" s="31">
        <v>-40</v>
      </c>
      <c r="D4" s="31">
        <v>-40</v>
      </c>
      <c r="E4" s="31">
        <v>-40</v>
      </c>
      <c r="F4" s="31">
        <v>-40</v>
      </c>
      <c r="G4" s="31">
        <v>-40</v>
      </c>
      <c r="H4" s="31">
        <v>-60</v>
      </c>
      <c r="I4" s="31">
        <v>-60</v>
      </c>
      <c r="J4" s="31">
        <v>-60</v>
      </c>
      <c r="K4" s="31">
        <v>-60</v>
      </c>
      <c r="L4" s="32">
        <v>-60</v>
      </c>
    </row>
    <row r="5" spans="1:12" ht="16.8" thickBot="1" x14ac:dyDescent="0.35">
      <c r="A5" s="169"/>
      <c r="B5" s="101"/>
      <c r="C5" s="34">
        <v>-50</v>
      </c>
      <c r="D5" s="34">
        <v>-54</v>
      </c>
      <c r="E5" s="34">
        <v>-65</v>
      </c>
      <c r="F5" s="34">
        <v>-80</v>
      </c>
      <c r="G5" s="34">
        <v>-100</v>
      </c>
      <c r="H5" s="34">
        <v>-70</v>
      </c>
      <c r="I5" s="34">
        <v>-74</v>
      </c>
      <c r="J5" s="34">
        <v>-85</v>
      </c>
      <c r="K5" s="34">
        <v>-100</v>
      </c>
      <c r="L5" s="35">
        <v>-120</v>
      </c>
    </row>
    <row r="6" spans="1:12" x14ac:dyDescent="0.3">
      <c r="A6" s="197">
        <v>3</v>
      </c>
      <c r="B6" s="100">
        <v>6</v>
      </c>
      <c r="C6" s="31">
        <v>-46</v>
      </c>
      <c r="D6" s="31">
        <v>-50</v>
      </c>
      <c r="E6" s="31">
        <v>-50</v>
      </c>
      <c r="F6" s="31">
        <v>-50</v>
      </c>
      <c r="G6" s="31">
        <v>-50</v>
      </c>
      <c r="H6" s="31">
        <v>-76</v>
      </c>
      <c r="I6" s="31">
        <v>-80</v>
      </c>
      <c r="J6" s="31">
        <v>-80</v>
      </c>
      <c r="K6" s="31">
        <v>-80</v>
      </c>
      <c r="L6" s="32">
        <v>-80</v>
      </c>
    </row>
    <row r="7" spans="1:12" ht="16.8" thickBot="1" x14ac:dyDescent="0.35">
      <c r="A7" s="198"/>
      <c r="B7" s="101"/>
      <c r="C7" s="34">
        <v>-58</v>
      </c>
      <c r="D7" s="34">
        <v>-68</v>
      </c>
      <c r="E7" s="34">
        <v>-80</v>
      </c>
      <c r="F7" s="34">
        <v>-98</v>
      </c>
      <c r="G7" s="34">
        <v>-125</v>
      </c>
      <c r="H7" s="34">
        <v>-88</v>
      </c>
      <c r="I7" s="34">
        <v>-98</v>
      </c>
      <c r="J7" s="34">
        <v>-110</v>
      </c>
      <c r="K7" s="34">
        <v>-128</v>
      </c>
      <c r="L7" s="35">
        <v>-155</v>
      </c>
    </row>
    <row r="8" spans="1:12" x14ac:dyDescent="0.3">
      <c r="A8" s="197">
        <v>6</v>
      </c>
      <c r="B8" s="100">
        <v>10</v>
      </c>
      <c r="C8" s="31">
        <v>-61</v>
      </c>
      <c r="D8" s="31">
        <v>-67</v>
      </c>
      <c r="E8" s="31">
        <v>-67</v>
      </c>
      <c r="F8" s="31">
        <v>-67</v>
      </c>
      <c r="G8" s="31">
        <v>-67</v>
      </c>
      <c r="H8" s="31">
        <v>-91</v>
      </c>
      <c r="I8" s="31">
        <v>-97</v>
      </c>
      <c r="J8" s="31">
        <v>-97</v>
      </c>
      <c r="K8" s="31">
        <v>-97</v>
      </c>
      <c r="L8" s="32">
        <v>-97</v>
      </c>
    </row>
    <row r="9" spans="1:12" ht="16.8" thickBot="1" x14ac:dyDescent="0.35">
      <c r="A9" s="198"/>
      <c r="B9" s="101"/>
      <c r="C9" s="34">
        <v>-76</v>
      </c>
      <c r="D9" s="34">
        <v>-89</v>
      </c>
      <c r="E9" s="34">
        <v>-103</v>
      </c>
      <c r="F9" s="34">
        <v>-125</v>
      </c>
      <c r="G9" s="34">
        <v>-157</v>
      </c>
      <c r="H9" s="34">
        <v>-106</v>
      </c>
      <c r="I9" s="34">
        <v>-119</v>
      </c>
      <c r="J9" s="34">
        <v>-133</v>
      </c>
      <c r="K9" s="34">
        <v>-155</v>
      </c>
      <c r="L9" s="35">
        <v>-187</v>
      </c>
    </row>
    <row r="10" spans="1:12" x14ac:dyDescent="0.3">
      <c r="A10" s="70">
        <v>10</v>
      </c>
      <c r="B10" s="100">
        <v>14</v>
      </c>
      <c r="C10" s="31">
        <v>-83</v>
      </c>
      <c r="D10" s="31">
        <v>-90</v>
      </c>
      <c r="E10" s="31">
        <v>-90</v>
      </c>
      <c r="F10" s="31">
        <v>-90</v>
      </c>
      <c r="G10" s="31">
        <v>-90</v>
      </c>
      <c r="H10" s="31">
        <v>-123</v>
      </c>
      <c r="I10" s="31">
        <v>-130</v>
      </c>
      <c r="J10" s="31">
        <v>-130</v>
      </c>
      <c r="K10" s="31">
        <v>-130</v>
      </c>
      <c r="L10" s="32">
        <v>-130</v>
      </c>
    </row>
    <row r="11" spans="1:12" ht="16.8" thickBot="1" x14ac:dyDescent="0.35">
      <c r="A11" s="71"/>
      <c r="B11" s="101"/>
      <c r="C11" s="34">
        <v>-101</v>
      </c>
      <c r="D11" s="34">
        <v>-117</v>
      </c>
      <c r="E11" s="34">
        <v>-133</v>
      </c>
      <c r="F11" s="34">
        <v>-160</v>
      </c>
      <c r="G11" s="34">
        <v>-200</v>
      </c>
      <c r="H11" s="34">
        <v>-141</v>
      </c>
      <c r="I11" s="34">
        <v>-157</v>
      </c>
      <c r="J11" s="34">
        <v>-173</v>
      </c>
      <c r="K11" s="34">
        <v>-200</v>
      </c>
      <c r="L11" s="35">
        <v>-240</v>
      </c>
    </row>
    <row r="12" spans="1:12" x14ac:dyDescent="0.3">
      <c r="A12" s="70">
        <v>14</v>
      </c>
      <c r="B12" s="100">
        <v>18</v>
      </c>
      <c r="C12" s="31">
        <v>-101</v>
      </c>
      <c r="D12" s="31">
        <v>-108</v>
      </c>
      <c r="E12" s="31">
        <v>-108</v>
      </c>
      <c r="F12" s="31">
        <v>-108</v>
      </c>
      <c r="G12" s="31">
        <v>-108</v>
      </c>
      <c r="H12" s="31">
        <v>-143</v>
      </c>
      <c r="I12" s="31">
        <v>-150</v>
      </c>
      <c r="J12" s="31">
        <v>-150</v>
      </c>
      <c r="K12" s="31">
        <v>-150</v>
      </c>
      <c r="L12" s="32">
        <v>-150</v>
      </c>
    </row>
    <row r="13" spans="1:12" ht="16.8" thickBot="1" x14ac:dyDescent="0.35">
      <c r="A13" s="71"/>
      <c r="B13" s="101"/>
      <c r="C13" s="34">
        <v>-119</v>
      </c>
      <c r="D13" s="34">
        <v>-135</v>
      </c>
      <c r="E13" s="34">
        <v>-151</v>
      </c>
      <c r="F13" s="34">
        <v>-178</v>
      </c>
      <c r="G13" s="34">
        <v>-218</v>
      </c>
      <c r="H13" s="34">
        <v>-161</v>
      </c>
      <c r="I13" s="34">
        <v>-177</v>
      </c>
      <c r="J13" s="34">
        <v>-193</v>
      </c>
      <c r="K13" s="34">
        <v>-220</v>
      </c>
      <c r="L13" s="35">
        <v>-260</v>
      </c>
    </row>
    <row r="14" spans="1:12" x14ac:dyDescent="0.3">
      <c r="A14" s="70">
        <v>18</v>
      </c>
      <c r="B14" s="100">
        <v>24</v>
      </c>
      <c r="C14" s="31">
        <v>-128</v>
      </c>
      <c r="D14" s="31">
        <v>-136</v>
      </c>
      <c r="E14" s="31">
        <v>-136</v>
      </c>
      <c r="F14" s="31">
        <v>-136</v>
      </c>
      <c r="G14" s="31">
        <v>-136</v>
      </c>
      <c r="H14" s="31">
        <v>-180</v>
      </c>
      <c r="I14" s="31">
        <v>-188</v>
      </c>
      <c r="J14" s="31">
        <v>-188</v>
      </c>
      <c r="K14" s="31">
        <v>-188</v>
      </c>
      <c r="L14" s="32">
        <v>-188</v>
      </c>
    </row>
    <row r="15" spans="1:12" ht="16.8" thickBot="1" x14ac:dyDescent="0.35">
      <c r="A15" s="71"/>
      <c r="B15" s="101"/>
      <c r="C15" s="34">
        <v>-149</v>
      </c>
      <c r="D15" s="34">
        <v>-169</v>
      </c>
      <c r="E15" s="34">
        <v>-188</v>
      </c>
      <c r="F15" s="34">
        <v>-220</v>
      </c>
      <c r="G15" s="34">
        <v>-266</v>
      </c>
      <c r="H15" s="34">
        <v>-201</v>
      </c>
      <c r="I15" s="34">
        <v>-221</v>
      </c>
      <c r="J15" s="34">
        <v>-240</v>
      </c>
      <c r="K15" s="34">
        <v>-272</v>
      </c>
      <c r="L15" s="35">
        <v>-318</v>
      </c>
    </row>
    <row r="16" spans="1:12" x14ac:dyDescent="0.3">
      <c r="A16" s="70">
        <v>24</v>
      </c>
      <c r="B16" s="100">
        <v>30</v>
      </c>
      <c r="C16" s="31">
        <v>-152</v>
      </c>
      <c r="D16" s="31">
        <v>-160</v>
      </c>
      <c r="E16" s="31">
        <v>-160</v>
      </c>
      <c r="F16" s="31">
        <v>-160</v>
      </c>
      <c r="G16" s="31">
        <v>-160</v>
      </c>
      <c r="H16" s="31">
        <v>-210</v>
      </c>
      <c r="I16" s="31">
        <v>-218</v>
      </c>
      <c r="J16" s="31">
        <v>-218</v>
      </c>
      <c r="K16" s="31">
        <v>-218</v>
      </c>
      <c r="L16" s="32">
        <v>-218</v>
      </c>
    </row>
    <row r="17" spans="1:12" ht="16.8" thickBot="1" x14ac:dyDescent="0.35">
      <c r="A17" s="71"/>
      <c r="B17" s="101"/>
      <c r="C17" s="34">
        <v>-173</v>
      </c>
      <c r="D17" s="34">
        <v>-193</v>
      </c>
      <c r="E17" s="34">
        <v>-212</v>
      </c>
      <c r="F17" s="34">
        <v>-244</v>
      </c>
      <c r="G17" s="34">
        <v>-290</v>
      </c>
      <c r="H17" s="34">
        <v>-231</v>
      </c>
      <c r="I17" s="34">
        <v>-251</v>
      </c>
      <c r="J17" s="34">
        <v>-270</v>
      </c>
      <c r="K17" s="34">
        <v>-302</v>
      </c>
      <c r="L17" s="35">
        <v>-348</v>
      </c>
    </row>
    <row r="18" spans="1:12" x14ac:dyDescent="0.3">
      <c r="A18" s="70">
        <v>30</v>
      </c>
      <c r="B18" s="100">
        <v>40</v>
      </c>
      <c r="C18" s="31">
        <v>-191</v>
      </c>
      <c r="D18" s="31">
        <v>-200</v>
      </c>
      <c r="E18" s="31">
        <v>-200</v>
      </c>
      <c r="F18" s="31">
        <v>-200</v>
      </c>
      <c r="G18" s="31">
        <v>-200</v>
      </c>
      <c r="H18" s="31">
        <v>-265</v>
      </c>
      <c r="I18" s="31">
        <v>-274</v>
      </c>
      <c r="J18" s="31">
        <v>-274</v>
      </c>
      <c r="K18" s="31">
        <v>-274</v>
      </c>
      <c r="L18" s="32">
        <v>-274</v>
      </c>
    </row>
    <row r="19" spans="1:12" ht="16.8" thickBot="1" x14ac:dyDescent="0.35">
      <c r="A19" s="71"/>
      <c r="B19" s="101"/>
      <c r="C19" s="34">
        <v>-216</v>
      </c>
      <c r="D19" s="34">
        <v>-239</v>
      </c>
      <c r="E19" s="34">
        <v>-262</v>
      </c>
      <c r="F19" s="34">
        <v>-300</v>
      </c>
      <c r="G19" s="34">
        <v>-360</v>
      </c>
      <c r="H19" s="34">
        <v>-290</v>
      </c>
      <c r="I19" s="34">
        <v>-313</v>
      </c>
      <c r="J19" s="34">
        <v>-336</v>
      </c>
      <c r="K19" s="34">
        <v>-374</v>
      </c>
      <c r="L19" s="35">
        <v>-434</v>
      </c>
    </row>
    <row r="20" spans="1:12" x14ac:dyDescent="0.3">
      <c r="A20" s="70">
        <v>40</v>
      </c>
      <c r="B20" s="100">
        <v>50</v>
      </c>
      <c r="C20" s="31">
        <v>-233</v>
      </c>
      <c r="D20" s="31">
        <v>-242</v>
      </c>
      <c r="E20" s="31">
        <v>-242</v>
      </c>
      <c r="F20" s="31">
        <v>-242</v>
      </c>
      <c r="G20" s="31">
        <v>-242</v>
      </c>
      <c r="H20" s="31">
        <v>-316</v>
      </c>
      <c r="I20" s="31">
        <v>-325</v>
      </c>
      <c r="J20" s="31">
        <v>-325</v>
      </c>
      <c r="K20" s="31">
        <v>-325</v>
      </c>
      <c r="L20" s="32">
        <v>-325</v>
      </c>
    </row>
    <row r="21" spans="1:12" ht="16.8" thickBot="1" x14ac:dyDescent="0.35">
      <c r="A21" s="71"/>
      <c r="B21" s="101"/>
      <c r="C21" s="34">
        <v>-258</v>
      </c>
      <c r="D21" s="34">
        <v>-281</v>
      </c>
      <c r="E21" s="34">
        <v>-304</v>
      </c>
      <c r="F21" s="34">
        <v>-342</v>
      </c>
      <c r="G21" s="34">
        <v>-402</v>
      </c>
      <c r="H21" s="34">
        <v>-341</v>
      </c>
      <c r="I21" s="34">
        <v>-364</v>
      </c>
      <c r="J21" s="34">
        <v>-387</v>
      </c>
      <c r="K21" s="34">
        <v>-425</v>
      </c>
      <c r="L21" s="35">
        <v>-485</v>
      </c>
    </row>
    <row r="22" spans="1:12" x14ac:dyDescent="0.3">
      <c r="A22" s="70">
        <v>50</v>
      </c>
      <c r="B22" s="100">
        <v>65</v>
      </c>
      <c r="C22" s="31">
        <v>-289</v>
      </c>
      <c r="D22" s="31">
        <v>-300</v>
      </c>
      <c r="E22" s="31">
        <v>-300</v>
      </c>
      <c r="F22" s="31">
        <v>-300</v>
      </c>
      <c r="G22" s="31">
        <v>-300</v>
      </c>
      <c r="H22" s="31">
        <v>-394</v>
      </c>
      <c r="I22" s="31">
        <v>-405</v>
      </c>
      <c r="J22" s="31">
        <v>-405</v>
      </c>
      <c r="K22" s="31">
        <v>-405</v>
      </c>
      <c r="L22" s="32">
        <v>-405</v>
      </c>
    </row>
    <row r="23" spans="1:12" ht="16.8" thickBot="1" x14ac:dyDescent="0.35">
      <c r="A23" s="71"/>
      <c r="B23" s="101"/>
      <c r="C23" s="34">
        <v>-319</v>
      </c>
      <c r="D23" s="34">
        <v>-346</v>
      </c>
      <c r="E23" s="34">
        <v>-374</v>
      </c>
      <c r="F23" s="34">
        <v>-420</v>
      </c>
      <c r="G23" s="34">
        <v>-490</v>
      </c>
      <c r="H23" s="34">
        <v>-424</v>
      </c>
      <c r="I23" s="34">
        <v>-451</v>
      </c>
      <c r="J23" s="34">
        <v>-479</v>
      </c>
      <c r="K23" s="34">
        <v>-525</v>
      </c>
      <c r="L23" s="35">
        <v>-595</v>
      </c>
    </row>
    <row r="24" spans="1:12" x14ac:dyDescent="0.3">
      <c r="A24" s="70">
        <v>65</v>
      </c>
      <c r="B24" s="100">
        <v>80</v>
      </c>
      <c r="C24" s="31">
        <v>-349</v>
      </c>
      <c r="D24" s="31">
        <v>-360</v>
      </c>
      <c r="E24" s="31">
        <v>-360</v>
      </c>
      <c r="F24" s="31">
        <v>-360</v>
      </c>
      <c r="G24" s="31">
        <v>-360</v>
      </c>
      <c r="H24" s="31">
        <v>-469</v>
      </c>
      <c r="I24" s="31">
        <v>-480</v>
      </c>
      <c r="J24" s="31">
        <v>-480</v>
      </c>
      <c r="K24" s="31">
        <v>-480</v>
      </c>
      <c r="L24" s="32">
        <v>-480</v>
      </c>
    </row>
    <row r="25" spans="1:12" ht="16.8" thickBot="1" x14ac:dyDescent="0.35">
      <c r="A25" s="71"/>
      <c r="B25" s="101"/>
      <c r="C25" s="34">
        <v>-379</v>
      </c>
      <c r="D25" s="34">
        <v>-406</v>
      </c>
      <c r="E25" s="34">
        <v>-434</v>
      </c>
      <c r="F25" s="34">
        <v>-480</v>
      </c>
      <c r="G25" s="34">
        <v>-550</v>
      </c>
      <c r="H25" s="34">
        <v>-499</v>
      </c>
      <c r="I25" s="34">
        <v>-526</v>
      </c>
      <c r="J25" s="34">
        <v>-554</v>
      </c>
      <c r="K25" s="34">
        <v>-600</v>
      </c>
      <c r="L25" s="35">
        <v>-670</v>
      </c>
    </row>
    <row r="26" spans="1:12" x14ac:dyDescent="0.3">
      <c r="A26" s="70">
        <v>80</v>
      </c>
      <c r="B26" s="100">
        <v>100</v>
      </c>
      <c r="C26" s="31">
        <v>-432</v>
      </c>
      <c r="D26" s="31">
        <v>-445</v>
      </c>
      <c r="E26" s="31">
        <v>-445</v>
      </c>
      <c r="F26" s="31">
        <v>-445</v>
      </c>
      <c r="G26" s="31">
        <v>-445</v>
      </c>
      <c r="H26" s="31">
        <v>-572</v>
      </c>
      <c r="I26" s="31">
        <v>-585</v>
      </c>
      <c r="J26" s="31">
        <v>-585</v>
      </c>
      <c r="K26" s="31">
        <v>-585</v>
      </c>
      <c r="L26" s="32">
        <v>-585</v>
      </c>
    </row>
    <row r="27" spans="1:12" ht="16.8" thickBot="1" x14ac:dyDescent="0.35">
      <c r="A27" s="71"/>
      <c r="B27" s="101"/>
      <c r="C27" s="34">
        <v>-467</v>
      </c>
      <c r="D27" s="34">
        <v>-499</v>
      </c>
      <c r="E27" s="34">
        <v>-532</v>
      </c>
      <c r="F27" s="34">
        <v>-585</v>
      </c>
      <c r="G27" s="34">
        <v>-665</v>
      </c>
      <c r="H27" s="34">
        <v>-607</v>
      </c>
      <c r="I27" s="34">
        <v>-639</v>
      </c>
      <c r="J27" s="34">
        <v>-672</v>
      </c>
      <c r="K27" s="34">
        <v>-725</v>
      </c>
      <c r="L27" s="35">
        <v>-805</v>
      </c>
    </row>
    <row r="28" spans="1:12" x14ac:dyDescent="0.3">
      <c r="A28" s="70">
        <v>100</v>
      </c>
      <c r="B28" s="100">
        <v>120</v>
      </c>
      <c r="C28" s="31">
        <v>-512</v>
      </c>
      <c r="D28" s="31">
        <v>-525</v>
      </c>
      <c r="E28" s="31">
        <v>-525</v>
      </c>
      <c r="F28" s="31">
        <v>-525</v>
      </c>
      <c r="G28" s="31">
        <v>-525</v>
      </c>
      <c r="H28" s="31">
        <v>-677</v>
      </c>
      <c r="I28" s="31">
        <v>-690</v>
      </c>
      <c r="J28" s="31">
        <v>-690</v>
      </c>
      <c r="K28" s="31">
        <v>-690</v>
      </c>
      <c r="L28" s="32">
        <v>-690</v>
      </c>
    </row>
    <row r="29" spans="1:12" ht="16.8" thickBot="1" x14ac:dyDescent="0.35">
      <c r="A29" s="71"/>
      <c r="B29" s="101"/>
      <c r="C29" s="34">
        <v>-547</v>
      </c>
      <c r="D29" s="34">
        <v>-579</v>
      </c>
      <c r="E29" s="34">
        <v>-612</v>
      </c>
      <c r="F29" s="34">
        <v>-665</v>
      </c>
      <c r="G29" s="34">
        <v>-745</v>
      </c>
      <c r="H29" s="34">
        <v>-712</v>
      </c>
      <c r="I29" s="34">
        <v>-744</v>
      </c>
      <c r="J29" s="34">
        <v>-777</v>
      </c>
      <c r="K29" s="34">
        <v>-830</v>
      </c>
      <c r="L29" s="35">
        <v>-910</v>
      </c>
    </row>
    <row r="30" spans="1:12" x14ac:dyDescent="0.3">
      <c r="A30" s="70">
        <v>120</v>
      </c>
      <c r="B30" s="100">
        <v>140</v>
      </c>
      <c r="C30" s="31">
        <v>-605</v>
      </c>
      <c r="D30" s="31">
        <v>-620</v>
      </c>
      <c r="E30" s="31">
        <v>-620</v>
      </c>
      <c r="F30" s="31">
        <v>-620</v>
      </c>
      <c r="G30" s="31">
        <v>-620</v>
      </c>
      <c r="H30" s="31">
        <v>-785</v>
      </c>
      <c r="I30" s="31">
        <v>-800</v>
      </c>
      <c r="J30" s="31">
        <v>-800</v>
      </c>
      <c r="K30" s="31">
        <v>-800</v>
      </c>
      <c r="L30" s="32">
        <v>-800</v>
      </c>
    </row>
    <row r="31" spans="1:12" ht="16.8" thickBot="1" x14ac:dyDescent="0.35">
      <c r="A31" s="71"/>
      <c r="B31" s="101"/>
      <c r="C31" s="34">
        <v>-645</v>
      </c>
      <c r="D31" s="34">
        <v>-683</v>
      </c>
      <c r="E31" s="34">
        <v>-720</v>
      </c>
      <c r="F31" s="34">
        <v>-780</v>
      </c>
      <c r="G31" s="34">
        <v>-870</v>
      </c>
      <c r="H31" s="34">
        <v>-825</v>
      </c>
      <c r="I31" s="34">
        <v>-863</v>
      </c>
      <c r="J31" s="34">
        <v>-900</v>
      </c>
      <c r="K31" s="34">
        <v>-960</v>
      </c>
      <c r="L31" s="57">
        <v>-1050</v>
      </c>
    </row>
    <row r="32" spans="1:12" x14ac:dyDescent="0.3">
      <c r="A32" s="70">
        <v>140</v>
      </c>
      <c r="B32" s="100">
        <v>160</v>
      </c>
      <c r="C32" s="31">
        <v>-685</v>
      </c>
      <c r="D32" s="31">
        <v>-700</v>
      </c>
      <c r="E32" s="31">
        <v>-700</v>
      </c>
      <c r="F32" s="31">
        <v>-700</v>
      </c>
      <c r="G32" s="31">
        <v>-700</v>
      </c>
      <c r="H32" s="31">
        <v>-885</v>
      </c>
      <c r="I32" s="31">
        <v>-900</v>
      </c>
      <c r="J32" s="31">
        <v>-900</v>
      </c>
      <c r="K32" s="31">
        <v>-900</v>
      </c>
      <c r="L32" s="32">
        <v>-900</v>
      </c>
    </row>
    <row r="33" spans="1:12" ht="16.8" thickBot="1" x14ac:dyDescent="0.35">
      <c r="A33" s="71"/>
      <c r="B33" s="101"/>
      <c r="C33" s="34">
        <v>-725</v>
      </c>
      <c r="D33" s="34">
        <v>-763</v>
      </c>
      <c r="E33" s="34">
        <v>-800</v>
      </c>
      <c r="F33" s="34">
        <v>-860</v>
      </c>
      <c r="G33" s="34">
        <v>-950</v>
      </c>
      <c r="H33" s="34">
        <v>-925</v>
      </c>
      <c r="I33" s="34">
        <v>-963</v>
      </c>
      <c r="J33" s="56">
        <v>-1000</v>
      </c>
      <c r="K33" s="56">
        <v>-1060</v>
      </c>
      <c r="L33" s="57">
        <v>-1150</v>
      </c>
    </row>
    <row r="34" spans="1:12" x14ac:dyDescent="0.3">
      <c r="A34" s="70">
        <v>160</v>
      </c>
      <c r="B34" s="100">
        <v>180</v>
      </c>
      <c r="C34" s="31">
        <v>-765</v>
      </c>
      <c r="D34" s="31">
        <v>-780</v>
      </c>
      <c r="E34" s="31">
        <v>-780</v>
      </c>
      <c r="F34" s="31">
        <v>-780</v>
      </c>
      <c r="G34" s="31">
        <v>-780</v>
      </c>
      <c r="H34" s="31">
        <v>-985</v>
      </c>
      <c r="I34" s="38">
        <v>-1000</v>
      </c>
      <c r="J34" s="38">
        <v>-1000</v>
      </c>
      <c r="K34" s="38">
        <v>-1000</v>
      </c>
      <c r="L34" s="58">
        <v>-1000</v>
      </c>
    </row>
    <row r="35" spans="1:12" ht="16.8" thickBot="1" x14ac:dyDescent="0.35">
      <c r="A35" s="71"/>
      <c r="B35" s="101"/>
      <c r="C35" s="34">
        <v>-805</v>
      </c>
      <c r="D35" s="34">
        <v>-843</v>
      </c>
      <c r="E35" s="34">
        <v>-880</v>
      </c>
      <c r="F35" s="34">
        <v>-940</v>
      </c>
      <c r="G35" s="56">
        <v>-1030</v>
      </c>
      <c r="H35" s="56">
        <v>-1025</v>
      </c>
      <c r="I35" s="56">
        <v>-1063</v>
      </c>
      <c r="J35" s="56">
        <v>-1100</v>
      </c>
      <c r="K35" s="56">
        <v>-1160</v>
      </c>
      <c r="L35" s="57">
        <v>-1250</v>
      </c>
    </row>
    <row r="36" spans="1:12" x14ac:dyDescent="0.3">
      <c r="A36" s="70">
        <v>180</v>
      </c>
      <c r="B36" s="100">
        <v>200</v>
      </c>
      <c r="C36" s="31">
        <v>-863</v>
      </c>
      <c r="D36" s="31">
        <v>-880</v>
      </c>
      <c r="E36" s="31">
        <v>-880</v>
      </c>
      <c r="F36" s="31">
        <v>-880</v>
      </c>
      <c r="G36" s="31">
        <v>-880</v>
      </c>
      <c r="H36" s="38">
        <v>-1133</v>
      </c>
      <c r="I36" s="38">
        <v>-1150</v>
      </c>
      <c r="J36" s="38">
        <v>-1150</v>
      </c>
      <c r="K36" s="38">
        <v>-1150</v>
      </c>
      <c r="L36" s="58">
        <v>-1150</v>
      </c>
    </row>
    <row r="37" spans="1:12" ht="16.8" thickBot="1" x14ac:dyDescent="0.35">
      <c r="A37" s="71"/>
      <c r="B37" s="101"/>
      <c r="C37" s="34">
        <v>-909</v>
      </c>
      <c r="D37" s="34">
        <v>-952</v>
      </c>
      <c r="E37" s="34">
        <v>-995</v>
      </c>
      <c r="F37" s="56">
        <v>-1065</v>
      </c>
      <c r="G37" s="56">
        <v>-1170</v>
      </c>
      <c r="H37" s="56">
        <v>-1179</v>
      </c>
      <c r="I37" s="56">
        <v>-1222</v>
      </c>
      <c r="J37" s="56">
        <v>-1265</v>
      </c>
      <c r="K37" s="56">
        <v>-1335</v>
      </c>
      <c r="L37" s="57">
        <v>-1440</v>
      </c>
    </row>
    <row r="38" spans="1:12" x14ac:dyDescent="0.3">
      <c r="A38" s="70">
        <v>200</v>
      </c>
      <c r="B38" s="100">
        <v>225</v>
      </c>
      <c r="C38" s="31">
        <v>-943</v>
      </c>
      <c r="D38" s="31">
        <v>-960</v>
      </c>
      <c r="E38" s="31">
        <v>-960</v>
      </c>
      <c r="F38" s="31">
        <v>-960</v>
      </c>
      <c r="G38" s="31">
        <v>-960</v>
      </c>
      <c r="H38" s="38">
        <v>-1233</v>
      </c>
      <c r="I38" s="38">
        <v>-1250</v>
      </c>
      <c r="J38" s="38">
        <v>-1250</v>
      </c>
      <c r="K38" s="38">
        <v>-1250</v>
      </c>
      <c r="L38" s="58">
        <v>-1250</v>
      </c>
    </row>
    <row r="39" spans="1:12" ht="16.8" thickBot="1" x14ac:dyDescent="0.35">
      <c r="A39" s="71"/>
      <c r="B39" s="101"/>
      <c r="C39" s="34">
        <v>-989</v>
      </c>
      <c r="D39" s="56">
        <v>-1032</v>
      </c>
      <c r="E39" s="56">
        <v>-1075</v>
      </c>
      <c r="F39" s="56">
        <v>-1145</v>
      </c>
      <c r="G39" s="56">
        <v>-1250</v>
      </c>
      <c r="H39" s="56">
        <v>-1279</v>
      </c>
      <c r="I39" s="56">
        <v>-1322</v>
      </c>
      <c r="J39" s="56">
        <v>-1365</v>
      </c>
      <c r="K39" s="56">
        <v>-1435</v>
      </c>
      <c r="L39" s="57">
        <v>-1540</v>
      </c>
    </row>
    <row r="40" spans="1:12" x14ac:dyDescent="0.3">
      <c r="A40" s="70">
        <v>225</v>
      </c>
      <c r="B40" s="100">
        <v>250</v>
      </c>
      <c r="C40" s="38">
        <v>-1033</v>
      </c>
      <c r="D40" s="38">
        <v>-1050</v>
      </c>
      <c r="E40" s="38">
        <v>-1050</v>
      </c>
      <c r="F40" s="38">
        <v>-1050</v>
      </c>
      <c r="G40" s="38">
        <v>-1050</v>
      </c>
      <c r="H40" s="38">
        <v>-1333</v>
      </c>
      <c r="I40" s="38">
        <v>-1350</v>
      </c>
      <c r="J40" s="38">
        <v>-1350</v>
      </c>
      <c r="K40" s="38">
        <v>-1350</v>
      </c>
      <c r="L40" s="58">
        <v>-1350</v>
      </c>
    </row>
    <row r="41" spans="1:12" ht="16.8" thickBot="1" x14ac:dyDescent="0.35">
      <c r="A41" s="71"/>
      <c r="B41" s="101"/>
      <c r="C41" s="56">
        <v>-1079</v>
      </c>
      <c r="D41" s="56">
        <v>-1122</v>
      </c>
      <c r="E41" s="56">
        <v>-1165</v>
      </c>
      <c r="F41" s="56">
        <v>-1235</v>
      </c>
      <c r="G41" s="56">
        <v>-1340</v>
      </c>
      <c r="H41" s="56">
        <v>-1379</v>
      </c>
      <c r="I41" s="56">
        <v>-1422</v>
      </c>
      <c r="J41" s="56">
        <v>-1465</v>
      </c>
      <c r="K41" s="56">
        <v>-1535</v>
      </c>
      <c r="L41" s="57">
        <v>-1640</v>
      </c>
    </row>
    <row r="42" spans="1:12" x14ac:dyDescent="0.3">
      <c r="A42" s="70">
        <v>250</v>
      </c>
      <c r="B42" s="100">
        <v>280</v>
      </c>
      <c r="C42" s="38">
        <v>-1180</v>
      </c>
      <c r="D42" s="38">
        <v>-1200</v>
      </c>
      <c r="E42" s="38">
        <v>-1200</v>
      </c>
      <c r="F42" s="38">
        <v>-1200</v>
      </c>
      <c r="G42" s="38">
        <v>-1200</v>
      </c>
      <c r="H42" s="38">
        <v>-1530</v>
      </c>
      <c r="I42" s="38">
        <v>-1550</v>
      </c>
      <c r="J42" s="38">
        <v>-1550</v>
      </c>
      <c r="K42" s="38">
        <v>-1550</v>
      </c>
      <c r="L42" s="58">
        <v>-1550</v>
      </c>
    </row>
    <row r="43" spans="1:12" ht="16.8" thickBot="1" x14ac:dyDescent="0.35">
      <c r="A43" s="71"/>
      <c r="B43" s="101"/>
      <c r="C43" s="56">
        <v>-1232</v>
      </c>
      <c r="D43" s="56">
        <v>-1281</v>
      </c>
      <c r="E43" s="56">
        <v>-1330</v>
      </c>
      <c r="F43" s="56">
        <v>-1410</v>
      </c>
      <c r="G43" s="56">
        <v>-1520</v>
      </c>
      <c r="H43" s="56">
        <v>-1582</v>
      </c>
      <c r="I43" s="56">
        <v>-1631</v>
      </c>
      <c r="J43" s="56">
        <v>-1680</v>
      </c>
      <c r="K43" s="56">
        <v>-1760</v>
      </c>
      <c r="L43" s="57">
        <v>-1870</v>
      </c>
    </row>
    <row r="44" spans="1:12" x14ac:dyDescent="0.3">
      <c r="A44" s="70">
        <v>280</v>
      </c>
      <c r="B44" s="100">
        <v>315</v>
      </c>
      <c r="C44" s="38">
        <v>-1280</v>
      </c>
      <c r="D44" s="38">
        <v>-1300</v>
      </c>
      <c r="E44" s="38">
        <v>-1300</v>
      </c>
      <c r="F44" s="38">
        <v>-1300</v>
      </c>
      <c r="G44" s="38">
        <v>-1300</v>
      </c>
      <c r="H44" s="38">
        <v>-1680</v>
      </c>
      <c r="I44" s="38">
        <v>-1700</v>
      </c>
      <c r="J44" s="38">
        <v>-1700</v>
      </c>
      <c r="K44" s="38">
        <v>-1700</v>
      </c>
      <c r="L44" s="58">
        <v>-1700</v>
      </c>
    </row>
    <row r="45" spans="1:12" ht="16.8" thickBot="1" x14ac:dyDescent="0.35">
      <c r="A45" s="71"/>
      <c r="B45" s="101"/>
      <c r="C45" s="56">
        <v>-1332</v>
      </c>
      <c r="D45" s="56">
        <v>-1381</v>
      </c>
      <c r="E45" s="56">
        <v>-1430</v>
      </c>
      <c r="F45" s="56">
        <v>-1510</v>
      </c>
      <c r="G45" s="56">
        <v>-1620</v>
      </c>
      <c r="H45" s="56">
        <v>-1732</v>
      </c>
      <c r="I45" s="56">
        <v>-1781</v>
      </c>
      <c r="J45" s="56">
        <v>-1830</v>
      </c>
      <c r="K45" s="56">
        <v>-1910</v>
      </c>
      <c r="L45" s="57">
        <v>-2020</v>
      </c>
    </row>
    <row r="46" spans="1:12" x14ac:dyDescent="0.3">
      <c r="A46" s="70">
        <v>315</v>
      </c>
      <c r="B46" s="100">
        <v>355</v>
      </c>
      <c r="C46" s="38">
        <v>-1479</v>
      </c>
      <c r="D46" s="38">
        <v>-1500</v>
      </c>
      <c r="E46" s="38">
        <v>-1500</v>
      </c>
      <c r="F46" s="38">
        <v>-1500</v>
      </c>
      <c r="G46" s="38">
        <v>-1500</v>
      </c>
      <c r="H46" s="38">
        <v>-1879</v>
      </c>
      <c r="I46" s="38">
        <v>-1900</v>
      </c>
      <c r="J46" s="38">
        <v>-1900</v>
      </c>
      <c r="K46" s="38">
        <v>-1900</v>
      </c>
      <c r="L46" s="58">
        <v>-1900</v>
      </c>
    </row>
    <row r="47" spans="1:12" ht="16.8" thickBot="1" x14ac:dyDescent="0.35">
      <c r="A47" s="71"/>
      <c r="B47" s="101"/>
      <c r="C47" s="56">
        <v>-1536</v>
      </c>
      <c r="D47" s="56">
        <v>-1589</v>
      </c>
      <c r="E47" s="56">
        <v>-1640</v>
      </c>
      <c r="F47" s="56">
        <v>-1730</v>
      </c>
      <c r="G47" s="56">
        <v>-1860</v>
      </c>
      <c r="H47" s="56">
        <v>-1936</v>
      </c>
      <c r="I47" s="56">
        <v>-1989</v>
      </c>
      <c r="J47" s="56">
        <v>-2040</v>
      </c>
      <c r="K47" s="56">
        <v>-2130</v>
      </c>
      <c r="L47" s="57">
        <v>-2260</v>
      </c>
    </row>
    <row r="48" spans="1:12" x14ac:dyDescent="0.3">
      <c r="A48" s="70">
        <v>355</v>
      </c>
      <c r="B48" s="100">
        <v>400</v>
      </c>
      <c r="C48" s="38">
        <v>-1629</v>
      </c>
      <c r="D48" s="38">
        <v>-1650</v>
      </c>
      <c r="E48" s="38">
        <v>-1650</v>
      </c>
      <c r="F48" s="38">
        <v>-1650</v>
      </c>
      <c r="G48" s="38">
        <v>-1650</v>
      </c>
      <c r="H48" s="38">
        <v>-2079</v>
      </c>
      <c r="I48" s="38">
        <v>-2100</v>
      </c>
      <c r="J48" s="38">
        <v>-2100</v>
      </c>
      <c r="K48" s="38">
        <v>-2100</v>
      </c>
      <c r="L48" s="58">
        <v>-2100</v>
      </c>
    </row>
    <row r="49" spans="1:12" ht="16.8" thickBot="1" x14ac:dyDescent="0.35">
      <c r="A49" s="71"/>
      <c r="B49" s="101"/>
      <c r="C49" s="56">
        <v>-1686</v>
      </c>
      <c r="D49" s="56">
        <v>-1739</v>
      </c>
      <c r="E49" s="56">
        <v>-1790</v>
      </c>
      <c r="F49" s="56">
        <v>-1880</v>
      </c>
      <c r="G49" s="56">
        <v>-2010</v>
      </c>
      <c r="H49" s="56">
        <v>-2136</v>
      </c>
      <c r="I49" s="56">
        <v>-2189</v>
      </c>
      <c r="J49" s="56">
        <v>-2240</v>
      </c>
      <c r="K49" s="56">
        <v>-2330</v>
      </c>
      <c r="L49" s="57">
        <v>-2460</v>
      </c>
    </row>
    <row r="50" spans="1:12" x14ac:dyDescent="0.3">
      <c r="A50" s="70">
        <v>400</v>
      </c>
      <c r="B50" s="100">
        <v>450</v>
      </c>
      <c r="C50" s="38">
        <v>-1827</v>
      </c>
      <c r="D50" s="38">
        <v>-1850</v>
      </c>
      <c r="E50" s="38">
        <v>-1850</v>
      </c>
      <c r="F50" s="38">
        <v>-1850</v>
      </c>
      <c r="G50" s="38">
        <v>-1850</v>
      </c>
      <c r="H50" s="38">
        <v>-2377</v>
      </c>
      <c r="I50" s="38">
        <v>-2400</v>
      </c>
      <c r="J50" s="38">
        <v>-2400</v>
      </c>
      <c r="K50" s="38">
        <v>-2400</v>
      </c>
      <c r="L50" s="58">
        <v>-2400</v>
      </c>
    </row>
    <row r="51" spans="1:12" ht="16.8" thickBot="1" x14ac:dyDescent="0.35">
      <c r="A51" s="71"/>
      <c r="B51" s="101"/>
      <c r="C51" s="56">
        <v>-1890</v>
      </c>
      <c r="D51" s="56">
        <v>-1947</v>
      </c>
      <c r="E51" s="56">
        <v>-2005</v>
      </c>
      <c r="F51" s="56">
        <v>-2100</v>
      </c>
      <c r="G51" s="56">
        <v>-2250</v>
      </c>
      <c r="H51" s="56">
        <v>-2440</v>
      </c>
      <c r="I51" s="56">
        <v>-2497</v>
      </c>
      <c r="J51" s="56">
        <v>-2555</v>
      </c>
      <c r="K51" s="56">
        <v>-2650</v>
      </c>
      <c r="L51" s="57">
        <v>-2800</v>
      </c>
    </row>
    <row r="52" spans="1:12" x14ac:dyDescent="0.3">
      <c r="A52" s="70">
        <v>450</v>
      </c>
      <c r="B52" s="100">
        <v>500</v>
      </c>
      <c r="C52" s="38">
        <v>-2077</v>
      </c>
      <c r="D52" s="38">
        <v>-2100</v>
      </c>
      <c r="E52" s="38">
        <v>-2100</v>
      </c>
      <c r="F52" s="38">
        <v>-2100</v>
      </c>
      <c r="G52" s="38">
        <v>-2100</v>
      </c>
      <c r="H52" s="38">
        <v>-2577</v>
      </c>
      <c r="I52" s="38">
        <v>-2600</v>
      </c>
      <c r="J52" s="38">
        <v>-2600</v>
      </c>
      <c r="K52" s="38">
        <v>-2600</v>
      </c>
      <c r="L52" s="58">
        <v>-2600</v>
      </c>
    </row>
    <row r="53" spans="1:12" ht="16.8" thickBot="1" x14ac:dyDescent="0.35">
      <c r="A53" s="71"/>
      <c r="B53" s="101"/>
      <c r="C53" s="56">
        <v>-2140</v>
      </c>
      <c r="D53" s="56">
        <v>-2197</v>
      </c>
      <c r="E53" s="56">
        <v>-2255</v>
      </c>
      <c r="F53" s="56">
        <v>-2350</v>
      </c>
      <c r="G53" s="56">
        <v>-2500</v>
      </c>
      <c r="H53" s="56">
        <v>-2640</v>
      </c>
      <c r="I53" s="56">
        <v>-2697</v>
      </c>
      <c r="J53" s="56">
        <v>-2755</v>
      </c>
      <c r="K53" s="56">
        <v>-2850</v>
      </c>
      <c r="L53" s="57">
        <v>-3000</v>
      </c>
    </row>
    <row r="54" spans="1:12" ht="16.8" thickBot="1" x14ac:dyDescent="0.35">
      <c r="A54" s="89" t="s">
        <v>64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1"/>
    </row>
    <row r="55" spans="1:12" ht="16.8" thickTop="1" x14ac:dyDescent="0.3"/>
  </sheetData>
  <mergeCells count="55">
    <mergeCell ref="A1:B1"/>
    <mergeCell ref="A2:B2"/>
    <mergeCell ref="C1:G2"/>
    <mergeCell ref="H1:L2"/>
    <mergeCell ref="A4:A5"/>
    <mergeCell ref="B4:B5"/>
    <mergeCell ref="A6:A7"/>
    <mergeCell ref="B6:B7"/>
    <mergeCell ref="A8:A9"/>
    <mergeCell ref="B8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6:A27"/>
    <mergeCell ref="B26:B27"/>
    <mergeCell ref="A28:A29"/>
    <mergeCell ref="B28:B29"/>
    <mergeCell ref="A30:A31"/>
    <mergeCell ref="B30:B31"/>
    <mergeCell ref="A32:A33"/>
    <mergeCell ref="B32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3"/>
    <mergeCell ref="B42:B43"/>
    <mergeCell ref="A44:A45"/>
    <mergeCell ref="B44:B45"/>
    <mergeCell ref="A46:A47"/>
    <mergeCell ref="B46:B47"/>
    <mergeCell ref="A54:L54"/>
    <mergeCell ref="A48:A49"/>
    <mergeCell ref="B48:B49"/>
    <mergeCell ref="A50:A51"/>
    <mergeCell ref="B50:B51"/>
    <mergeCell ref="A52:A53"/>
    <mergeCell ref="B52:B5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孔A至C的限界偏差</vt:lpstr>
      <vt:lpstr>孔CD至E的限界偏差</vt:lpstr>
      <vt:lpstr>孔EF至F的限界偏差</vt:lpstr>
      <vt:lpstr>孔FG至G的限界偏差</vt:lpstr>
      <vt:lpstr>孔H的限界偏差</vt:lpstr>
      <vt:lpstr>孔JS的限界偏差</vt:lpstr>
      <vt:lpstr>孔J至K的限界偏差</vt:lpstr>
      <vt:lpstr>孔M至N的限界偏差</vt:lpstr>
      <vt:lpstr>孔P的限界偏差</vt:lpstr>
      <vt:lpstr>孔R的限界偏差</vt:lpstr>
      <vt:lpstr>孔S的限界偏差</vt:lpstr>
      <vt:lpstr>孔T至U的限界偏差</vt:lpstr>
      <vt:lpstr>孔V至Y的限界偏差</vt:lpstr>
      <vt:lpstr>孔Z至ZA的限界偏差</vt:lpstr>
      <vt:lpstr>孔ZB至ZC的限界偏差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泓文 陳</dc:creator>
  <cp:lastModifiedBy>泓文 陳</cp:lastModifiedBy>
  <dcterms:created xsi:type="dcterms:W3CDTF">2025-11-27T09:19:33Z</dcterms:created>
  <dcterms:modified xsi:type="dcterms:W3CDTF">2025-12-05T08:38:39Z</dcterms:modified>
</cp:coreProperties>
</file>
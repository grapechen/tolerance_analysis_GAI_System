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Tolerance_Project\server\data\"/>
    </mc:Choice>
  </mc:AlternateContent>
  <xr:revisionPtr revIDLastSave="0" documentId="13_ncr:1_{8BD8E697-A9C4-4A7E-83C8-BFA2F8EFB16C}" xr6:coauthVersionLast="47" xr6:coauthVersionMax="47" xr10:uidLastSave="{00000000-0000-0000-0000-000000000000}"/>
  <bookViews>
    <workbookView xWindow="28680" yWindow="-120" windowWidth="29040" windowHeight="15720" activeTab="2" xr2:uid="{0F553216-5EF8-4185-87B0-742EAD43368C}"/>
  </bookViews>
  <sheets>
    <sheet name="標準公差等級值" sheetId="2" r:id="rId1"/>
    <sheet name="孔A至M的基本偏差值" sheetId="1" r:id="rId2"/>
    <sheet name="孔N至ZC的基本偏差值" sheetId="3" r:id="rId3"/>
    <sheet name="軸 a 至 j 之基本偏差值 " sheetId="4" r:id="rId4"/>
    <sheet name="軸 k 至 zc 之基本偏差值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G9" i="2"/>
  <c r="P3" i="2"/>
  <c r="V3" i="2"/>
  <c r="U3" i="2"/>
  <c r="T3" i="2"/>
  <c r="S3" i="2"/>
  <c r="R3" i="2"/>
  <c r="Q3" i="2"/>
  <c r="V23" i="2"/>
  <c r="U23" i="2"/>
  <c r="T23" i="2"/>
  <c r="S23" i="2"/>
  <c r="R23" i="2"/>
  <c r="Q23" i="2"/>
  <c r="P23" i="2"/>
  <c r="V22" i="2"/>
  <c r="U22" i="2"/>
  <c r="T22" i="2"/>
  <c r="S22" i="2"/>
  <c r="R22" i="2"/>
  <c r="Q22" i="2"/>
  <c r="P22" i="2"/>
  <c r="V21" i="2"/>
  <c r="U21" i="2"/>
  <c r="T21" i="2"/>
  <c r="S21" i="2"/>
  <c r="R21" i="2"/>
  <c r="Q21" i="2"/>
  <c r="P21" i="2"/>
  <c r="V20" i="2"/>
  <c r="U20" i="2"/>
  <c r="T20" i="2"/>
  <c r="S20" i="2"/>
  <c r="R20" i="2"/>
  <c r="Q20" i="2"/>
  <c r="P20" i="2"/>
  <c r="V19" i="2"/>
  <c r="U19" i="2"/>
  <c r="T19" i="2"/>
  <c r="S19" i="2"/>
  <c r="R19" i="2"/>
  <c r="Q19" i="2"/>
  <c r="P19" i="2"/>
  <c r="V18" i="2"/>
  <c r="U18" i="2"/>
  <c r="T18" i="2"/>
  <c r="S18" i="2"/>
  <c r="R18" i="2"/>
  <c r="Q18" i="2"/>
  <c r="P18" i="2"/>
  <c r="V17" i="2"/>
  <c r="U17" i="2"/>
  <c r="T17" i="2"/>
  <c r="S17" i="2"/>
  <c r="R17" i="2"/>
  <c r="Q17" i="2"/>
  <c r="P17" i="2"/>
  <c r="V16" i="2"/>
  <c r="U16" i="2"/>
  <c r="T16" i="2"/>
  <c r="S16" i="2"/>
  <c r="R16" i="2"/>
  <c r="Q16" i="2"/>
  <c r="P16" i="2"/>
  <c r="V15" i="2"/>
  <c r="U15" i="2"/>
  <c r="T15" i="2"/>
  <c r="S15" i="2"/>
  <c r="R15" i="2"/>
  <c r="Q15" i="2"/>
  <c r="P15" i="2"/>
  <c r="V14" i="2"/>
  <c r="U14" i="2"/>
  <c r="T14" i="2"/>
  <c r="S14" i="2"/>
  <c r="R14" i="2"/>
  <c r="Q14" i="2"/>
  <c r="P14" i="2"/>
  <c r="V13" i="2"/>
  <c r="U13" i="2"/>
  <c r="T13" i="2"/>
  <c r="S13" i="2"/>
  <c r="R13" i="2"/>
  <c r="Q13" i="2"/>
  <c r="P13" i="2"/>
  <c r="V12" i="2"/>
  <c r="U12" i="2"/>
  <c r="T12" i="2"/>
  <c r="S12" i="2"/>
  <c r="R12" i="2"/>
  <c r="Q12" i="2"/>
  <c r="P12" i="2"/>
  <c r="V11" i="2"/>
  <c r="U11" i="2"/>
  <c r="T11" i="2"/>
  <c r="S11" i="2"/>
  <c r="R11" i="2"/>
  <c r="Q11" i="2"/>
  <c r="P11" i="2"/>
  <c r="V10" i="2"/>
  <c r="U10" i="2"/>
  <c r="T10" i="2"/>
  <c r="S10" i="2"/>
  <c r="R10" i="2"/>
  <c r="Q10" i="2"/>
  <c r="P10" i="2"/>
  <c r="V9" i="2"/>
  <c r="U9" i="2"/>
  <c r="T9" i="2"/>
  <c r="S9" i="2"/>
  <c r="R9" i="2"/>
  <c r="Q9" i="2"/>
  <c r="P9" i="2"/>
  <c r="V8" i="2"/>
  <c r="U8" i="2"/>
  <c r="T8" i="2"/>
  <c r="S8" i="2"/>
  <c r="R8" i="2"/>
  <c r="Q8" i="2"/>
  <c r="P8" i="2"/>
  <c r="V7" i="2"/>
  <c r="U7" i="2"/>
  <c r="T7" i="2"/>
  <c r="S7" i="2"/>
  <c r="R7" i="2"/>
  <c r="Q7" i="2"/>
  <c r="P7" i="2"/>
  <c r="V6" i="2"/>
  <c r="U6" i="2"/>
  <c r="T6" i="2"/>
  <c r="S6" i="2"/>
  <c r="R6" i="2"/>
  <c r="Q6" i="2"/>
  <c r="P6" i="2"/>
  <c r="V5" i="2"/>
  <c r="U5" i="2"/>
  <c r="T5" i="2"/>
  <c r="S5" i="2"/>
  <c r="R5" i="2"/>
  <c r="Q5" i="2"/>
  <c r="P5" i="2"/>
  <c r="V4" i="2"/>
  <c r="U4" i="2"/>
  <c r="T4" i="2"/>
  <c r="S4" i="2"/>
  <c r="R4" i="2"/>
  <c r="Q4" i="2"/>
  <c r="P4" i="2"/>
  <c r="O26" i="3"/>
  <c r="O23" i="2"/>
  <c r="N23" i="2"/>
  <c r="M23" i="2"/>
  <c r="L23" i="2"/>
  <c r="K23" i="2"/>
  <c r="J23" i="2"/>
  <c r="I23" i="2"/>
  <c r="H23" i="2"/>
  <c r="G23" i="2"/>
  <c r="F23" i="2"/>
  <c r="E23" i="2"/>
  <c r="O22" i="2"/>
  <c r="N22" i="2"/>
  <c r="M22" i="2"/>
  <c r="L22" i="2"/>
  <c r="K22" i="2"/>
  <c r="J22" i="2"/>
  <c r="I22" i="2"/>
  <c r="H22" i="2"/>
  <c r="G22" i="2"/>
  <c r="F22" i="2"/>
  <c r="E22" i="2"/>
  <c r="O21" i="2"/>
  <c r="N21" i="2"/>
  <c r="M21" i="2"/>
  <c r="L21" i="2"/>
  <c r="K21" i="2"/>
  <c r="J21" i="2"/>
  <c r="I21" i="2"/>
  <c r="H21" i="2"/>
  <c r="G21" i="2"/>
  <c r="F21" i="2"/>
  <c r="E21" i="2"/>
  <c r="O20" i="2"/>
  <c r="N20" i="2"/>
  <c r="M20" i="2"/>
  <c r="L20" i="2"/>
  <c r="K20" i="2"/>
  <c r="J20" i="2"/>
  <c r="I20" i="2"/>
  <c r="H20" i="2"/>
  <c r="G20" i="2"/>
  <c r="F20" i="2"/>
  <c r="E20" i="2"/>
  <c r="O19" i="2"/>
  <c r="N19" i="2"/>
  <c r="M19" i="2"/>
  <c r="L19" i="2"/>
  <c r="K19" i="2"/>
  <c r="J19" i="2"/>
  <c r="I19" i="2"/>
  <c r="H19" i="2"/>
  <c r="G19" i="2"/>
  <c r="F19" i="2"/>
  <c r="E19" i="2"/>
  <c r="O18" i="2"/>
  <c r="N18" i="2"/>
  <c r="M18" i="2"/>
  <c r="L18" i="2"/>
  <c r="K18" i="2"/>
  <c r="J18" i="2"/>
  <c r="I18" i="2"/>
  <c r="H18" i="2"/>
  <c r="G18" i="2"/>
  <c r="F18" i="2"/>
  <c r="E18" i="2"/>
  <c r="O17" i="2"/>
  <c r="N17" i="2"/>
  <c r="M17" i="2"/>
  <c r="L17" i="2"/>
  <c r="K17" i="2"/>
  <c r="J17" i="2"/>
  <c r="I17" i="2"/>
  <c r="H17" i="2"/>
  <c r="G17" i="2"/>
  <c r="F17" i="2"/>
  <c r="E17" i="2"/>
  <c r="O16" i="2"/>
  <c r="N16" i="2"/>
  <c r="M16" i="2"/>
  <c r="L16" i="2"/>
  <c r="K16" i="2"/>
  <c r="J16" i="2"/>
  <c r="I16" i="2"/>
  <c r="H16" i="2"/>
  <c r="G16" i="2"/>
  <c r="F16" i="2"/>
  <c r="E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O11" i="2"/>
  <c r="N11" i="2"/>
  <c r="M11" i="2"/>
  <c r="L11" i="2"/>
  <c r="K11" i="2"/>
  <c r="I11" i="2"/>
  <c r="H11" i="2"/>
  <c r="G11" i="2"/>
  <c r="F11" i="2"/>
  <c r="E11" i="2"/>
  <c r="D11" i="2"/>
  <c r="C11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O9" i="2"/>
  <c r="N9" i="2"/>
  <c r="M9" i="2"/>
  <c r="L9" i="2"/>
  <c r="K9" i="2"/>
  <c r="J9" i="2"/>
  <c r="I9" i="2"/>
  <c r="H9" i="2"/>
  <c r="F9" i="2"/>
  <c r="E9" i="2"/>
  <c r="D9" i="2"/>
  <c r="C9" i="2"/>
  <c r="O8" i="2"/>
  <c r="N8" i="2"/>
  <c r="M8" i="2"/>
  <c r="L8" i="2"/>
  <c r="K8" i="2"/>
  <c r="J8" i="2"/>
  <c r="I8" i="2"/>
  <c r="H8" i="2"/>
  <c r="G8" i="2"/>
  <c r="F8" i="2"/>
  <c r="E8" i="2"/>
  <c r="D8" i="2"/>
  <c r="C8" i="2"/>
  <c r="O7" i="2"/>
  <c r="N7" i="2"/>
  <c r="M7" i="2"/>
  <c r="L7" i="2"/>
  <c r="K7" i="2"/>
  <c r="J7" i="2"/>
  <c r="I7" i="2"/>
  <c r="H7" i="2"/>
  <c r="G7" i="2"/>
  <c r="F7" i="2"/>
  <c r="E7" i="2"/>
  <c r="D7" i="2"/>
  <c r="C7" i="2"/>
  <c r="O6" i="2"/>
  <c r="N6" i="2"/>
  <c r="M6" i="2"/>
  <c r="L6" i="2"/>
  <c r="K6" i="2"/>
  <c r="J6" i="2"/>
  <c r="I6" i="2"/>
  <c r="H6" i="2"/>
  <c r="G6" i="2"/>
  <c r="F6" i="2"/>
  <c r="E6" i="2"/>
  <c r="D6" i="2"/>
  <c r="C6" i="2"/>
  <c r="O5" i="2"/>
  <c r="N5" i="2"/>
  <c r="M5" i="2"/>
  <c r="L5" i="2"/>
  <c r="K5" i="2"/>
  <c r="J5" i="2"/>
  <c r="I5" i="2"/>
  <c r="H5" i="2"/>
  <c r="G5" i="2"/>
  <c r="F5" i="2"/>
  <c r="E5" i="2"/>
  <c r="D5" i="2"/>
  <c r="C5" i="2"/>
  <c r="O4" i="2"/>
  <c r="N4" i="2"/>
  <c r="M4" i="2"/>
  <c r="L4" i="2"/>
  <c r="K4" i="2"/>
  <c r="J4" i="2"/>
  <c r="I4" i="2"/>
  <c r="H4" i="2"/>
  <c r="G4" i="2"/>
  <c r="F4" i="2"/>
  <c r="E4" i="2"/>
  <c r="D4" i="2"/>
  <c r="C4" i="2"/>
  <c r="O3" i="2"/>
  <c r="N3" i="2"/>
  <c r="M3" i="2"/>
  <c r="L3" i="2"/>
  <c r="K3" i="2"/>
  <c r="J3" i="2"/>
  <c r="I3" i="2"/>
  <c r="H3" i="2"/>
  <c r="G3" i="2"/>
  <c r="F3" i="2"/>
  <c r="E3" i="2"/>
  <c r="D3" i="2"/>
  <c r="C3" i="2"/>
</calcChain>
</file>

<file path=xl/sharedStrings.xml><?xml version="1.0" encoding="utf-8"?>
<sst xmlns="http://schemas.openxmlformats.org/spreadsheetml/2006/main" count="1143" uniqueCount="591">
  <si>
    <t>—</t>
  </si>
  <si>
    <t>3</t>
  </si>
  <si>
    <t>6</t>
  </si>
  <si>
    <t>10</t>
  </si>
  <si>
    <t>14</t>
  </si>
  <si>
    <t>18</t>
  </si>
  <si>
    <t>24</t>
  </si>
  <si>
    <t>30</t>
  </si>
  <si>
    <t>40</t>
  </si>
  <si>
    <t>50</t>
  </si>
  <si>
    <t>65</t>
  </si>
  <si>
    <t>80</t>
  </si>
  <si>
    <t>100</t>
  </si>
  <si>
    <t>120</t>
  </si>
  <si>
    <t>140</t>
  </si>
  <si>
    <t>160</t>
  </si>
  <si>
    <t>180</t>
  </si>
  <si>
    <t>200</t>
  </si>
  <si>
    <t>225</t>
  </si>
  <si>
    <t>250</t>
  </si>
  <si>
    <t>280</t>
  </si>
  <si>
    <t>315</t>
  </si>
  <si>
    <t>355</t>
  </si>
  <si>
    <t>400</t>
  </si>
  <si>
    <t>450</t>
  </si>
  <si>
    <t>500</t>
  </si>
  <si>
    <t>560</t>
  </si>
  <si>
    <t>630</t>
  </si>
  <si>
    <t>710</t>
  </si>
  <si>
    <t>800</t>
  </si>
  <si>
    <t>900</t>
  </si>
  <si>
    <t>+270</t>
  </si>
  <si>
    <t>+280</t>
  </si>
  <si>
    <t>+290</t>
  </si>
  <si>
    <t>+300</t>
  </si>
  <si>
    <t>+310</t>
  </si>
  <si>
    <t>+320</t>
  </si>
  <si>
    <t>+340</t>
  </si>
  <si>
    <t>+360</t>
  </si>
  <si>
    <t>+380</t>
  </si>
  <si>
    <t>+410</t>
  </si>
  <si>
    <t>+460</t>
  </si>
  <si>
    <t>+520</t>
  </si>
  <si>
    <t>+580</t>
  </si>
  <si>
    <t>+660</t>
  </si>
  <si>
    <t>+740</t>
  </si>
  <si>
    <t>+820</t>
  </si>
  <si>
    <t>+920</t>
  </si>
  <si>
    <t>+1 050</t>
  </si>
  <si>
    <t>+1 200</t>
  </si>
  <si>
    <t>+1 350</t>
  </si>
  <si>
    <t>+1 500</t>
  </si>
  <si>
    <t>+1 650</t>
  </si>
  <si>
    <t>+140</t>
  </si>
  <si>
    <t>+150</t>
  </si>
  <si>
    <t>+160</t>
  </si>
  <si>
    <t>+170</t>
  </si>
  <si>
    <t>+180</t>
  </si>
  <si>
    <t>+190</t>
  </si>
  <si>
    <t>+200</t>
  </si>
  <si>
    <t>+220</t>
  </si>
  <si>
    <t>+240</t>
  </si>
  <si>
    <t>+260</t>
  </si>
  <si>
    <t>+420</t>
  </si>
  <si>
    <t>+480</t>
  </si>
  <si>
    <t>+540</t>
  </si>
  <si>
    <t>+600</t>
  </si>
  <si>
    <t>+680</t>
  </si>
  <si>
    <t>+760</t>
  </si>
  <si>
    <t>+840</t>
  </si>
  <si>
    <t>C</t>
  </si>
  <si>
    <t>+60</t>
  </si>
  <si>
    <t>+70</t>
  </si>
  <si>
    <t>+80</t>
  </si>
  <si>
    <t>+95</t>
  </si>
  <si>
    <t>+110</t>
  </si>
  <si>
    <t>+120</t>
  </si>
  <si>
    <t>+130</t>
  </si>
  <si>
    <t>+210</t>
  </si>
  <si>
    <t>+230</t>
  </si>
  <si>
    <t>+330</t>
  </si>
  <si>
    <t>+400</t>
  </si>
  <si>
    <t>+440</t>
  </si>
  <si>
    <t>CD</t>
  </si>
  <si>
    <t>+34</t>
  </si>
  <si>
    <t>+46</t>
  </si>
  <si>
    <t>+56</t>
  </si>
  <si>
    <t>+85</t>
  </si>
  <si>
    <t>+100</t>
  </si>
  <si>
    <t>D</t>
  </si>
  <si>
    <t>+20</t>
  </si>
  <si>
    <t>+30</t>
  </si>
  <si>
    <t>+40</t>
  </si>
  <si>
    <t>+50</t>
  </si>
  <si>
    <t>+65</t>
  </si>
  <si>
    <t>+145</t>
  </si>
  <si>
    <t>+350</t>
  </si>
  <si>
    <t>+390</t>
  </si>
  <si>
    <t>+430</t>
  </si>
  <si>
    <t>E</t>
  </si>
  <si>
    <t>+14</t>
  </si>
  <si>
    <t>+25</t>
  </si>
  <si>
    <t>+32</t>
  </si>
  <si>
    <t>+72</t>
  </si>
  <si>
    <t>+125</t>
  </si>
  <si>
    <t>+135</t>
  </si>
  <si>
    <t>+195</t>
  </si>
  <si>
    <t>EF</t>
  </si>
  <si>
    <t>+10</t>
  </si>
  <si>
    <t>+18</t>
  </si>
  <si>
    <t>+23</t>
  </si>
  <si>
    <t>+28</t>
  </si>
  <si>
    <t>+35</t>
  </si>
  <si>
    <t>F</t>
  </si>
  <si>
    <t>+6</t>
  </si>
  <si>
    <t>+13</t>
  </si>
  <si>
    <t>+16</t>
  </si>
  <si>
    <t>+36</t>
  </si>
  <si>
    <t>+43</t>
  </si>
  <si>
    <t>+62</t>
  </si>
  <si>
    <t>+68</t>
  </si>
  <si>
    <t>+76</t>
  </si>
  <si>
    <t>+86</t>
  </si>
  <si>
    <t>+98</t>
  </si>
  <si>
    <t>FG</t>
  </si>
  <si>
    <t>+4</t>
  </si>
  <si>
    <t>+8</t>
  </si>
  <si>
    <t>+12</t>
  </si>
  <si>
    <t>+15</t>
  </si>
  <si>
    <t>G</t>
  </si>
  <si>
    <t>+2</t>
  </si>
  <si>
    <t>+5</t>
  </si>
  <si>
    <t>+7</t>
  </si>
  <si>
    <t>+9</t>
  </si>
  <si>
    <t>+17</t>
  </si>
  <si>
    <t>+22</t>
  </si>
  <si>
    <t>+24</t>
  </si>
  <si>
    <t>+26</t>
  </si>
  <si>
    <t>+38</t>
  </si>
  <si>
    <t>H</t>
  </si>
  <si>
    <t>0</t>
  </si>
  <si>
    <t>JS</t>
  </si>
  <si>
    <t>IT6</t>
  </si>
  <si>
    <t>J</t>
  </si>
  <si>
    <t>+29</t>
  </si>
  <si>
    <t>+33</t>
  </si>
  <si>
    <t>IT7</t>
  </si>
  <si>
    <t>+39</t>
  </si>
  <si>
    <t>IT8</t>
  </si>
  <si>
    <t>+41</t>
  </si>
  <si>
    <t>+47</t>
  </si>
  <si>
    <t>+55</t>
  </si>
  <si>
    <t>+66</t>
  </si>
  <si>
    <t>−1 + Δ</t>
  </si>
  <si>
    <t>−2 + Δ</t>
  </si>
  <si>
    <t>−3 + Δ</t>
  </si>
  <si>
    <t>−4 + Δ</t>
  </si>
  <si>
    <t>−5 + Δ</t>
  </si>
  <si>
    <t>−2</t>
  </si>
  <si>
    <t>−7 + Δ</t>
  </si>
  <si>
    <t>−9 + Δ</t>
  </si>
  <si>
    <t>−11 + Δ</t>
  </si>
  <si>
    <t>−13 + Δ</t>
  </si>
  <si>
    <t>−17 + Δ</t>
  </si>
  <si>
    <t>−20 + Δ</t>
  </si>
  <si>
    <t>−21 + Δ</t>
  </si>
  <si>
    <t>−23 + Δ</t>
  </si>
  <si>
    <t>−4</t>
  </si>
  <si>
    <t>−6</t>
  </si>
  <si>
    <t>−7</t>
  </si>
  <si>
    <t>−8</t>
  </si>
  <si>
    <t>−9</t>
  </si>
  <si>
    <t>−11</t>
  </si>
  <si>
    <t>−13</t>
  </si>
  <si>
    <t>−15</t>
  </si>
  <si>
    <t>−17</t>
  </si>
  <si>
    <t>−20</t>
  </si>
  <si>
    <t>−21</t>
  </si>
  <si>
    <t>−23</t>
  </si>
  <si>
    <t xml:space="preserve">IT01     </t>
  </si>
  <si>
    <t xml:space="preserve"> IT0</t>
  </si>
  <si>
    <t>IT1</t>
  </si>
  <si>
    <t>IT2</t>
  </si>
  <si>
    <t xml:space="preserve">IT3 </t>
  </si>
  <si>
    <t>IT4</t>
  </si>
  <si>
    <t>IT5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</si>
  <si>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</si>
  <si>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</si>
  <si>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</si>
  <si>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</si>
  <si>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</si>
  <si>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</si>
  <si>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</si>
  <si>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</si>
  <si>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</si>
  <si>
    <t>IT18</t>
  </si>
  <si>
    <t xml:space="preserve">µm </t>
    <phoneticPr fontId="2" type="noConversion"/>
  </si>
  <si>
    <t>A</t>
    <phoneticPr fontId="1" type="noConversion"/>
  </si>
  <si>
    <t>B</t>
    <phoneticPr fontId="1" type="noConversion"/>
  </si>
  <si>
    <t>大於</t>
  </si>
  <si>
    <t>至</t>
  </si>
  <si>
    <t>c</t>
  </si>
  <si>
    <t>cd</t>
  </si>
  <si>
    <t>d</t>
  </si>
  <si>
    <t>e</t>
  </si>
  <si>
    <t>ef</t>
  </si>
  <si>
    <t>f</t>
  </si>
  <si>
    <t>fg</t>
  </si>
  <si>
    <t>g</t>
  </si>
  <si>
    <t>h</t>
  </si>
  <si>
    <t>js</t>
  </si>
  <si>
    <t>j</t>
  </si>
  <si>
    <t>－</t>
  </si>
  <si>
    <t>−270</t>
  </si>
  <si>
    <t>−140</t>
  </si>
  <si>
    <t>−60</t>
  </si>
  <si>
    <t>−34</t>
  </si>
  <si>
    <t>−14</t>
  </si>
  <si>
    <t>−10</t>
  </si>
  <si>
    <t>−70</t>
  </si>
  <si>
    <t>−46</t>
  </si>
  <si>
    <t>−30</t>
  </si>
  <si>
    <t>−280</t>
  </si>
  <si>
    <t>−150</t>
  </si>
  <si>
    <t>−80</t>
  </si>
  <si>
    <t>−56</t>
  </si>
  <si>
    <t>−40</t>
  </si>
  <si>
    <t>−25</t>
  </si>
  <si>
    <t>−18</t>
  </si>
  <si>
    <t>−5</t>
  </si>
  <si>
    <t>−290</t>
  </si>
  <si>
    <t>−95</t>
  </si>
  <si>
    <t>−50</t>
  </si>
  <si>
    <t>−32</t>
  </si>
  <si>
    <t>−16</t>
  </si>
  <si>
    <t>−3</t>
  </si>
  <si>
    <t>−300</t>
  </si>
  <si>
    <t>−160</t>
  </si>
  <si>
    <t>−110</t>
  </si>
  <si>
    <t>−85</t>
  </si>
  <si>
    <t>−65</t>
  </si>
  <si>
    <t>−12</t>
  </si>
  <si>
    <t>−310</t>
  </si>
  <si>
    <t>−170</t>
  </si>
  <si>
    <t>−120</t>
  </si>
  <si>
    <t>−100</t>
  </si>
  <si>
    <t>−35</t>
  </si>
  <si>
    <t>−320</t>
  </si>
  <si>
    <t>−180</t>
  </si>
  <si>
    <t>−130</t>
  </si>
  <si>
    <t>−340</t>
  </si>
  <si>
    <t>−190</t>
  </si>
  <si>
    <t>−360</t>
  </si>
  <si>
    <t>−200</t>
  </si>
  <si>
    <t>−380</t>
  </si>
  <si>
    <t>−220</t>
  </si>
  <si>
    <t>−72</t>
  </si>
  <si>
    <t>−36</t>
  </si>
  <si>
    <t>−410</t>
  </si>
  <si>
    <t>−240</t>
  </si>
  <si>
    <t>−460</t>
  </si>
  <si>
    <t>−260</t>
  </si>
  <si>
    <t>−145</t>
  </si>
  <si>
    <t>−43</t>
  </si>
  <si>
    <t>−520</t>
  </si>
  <si>
    <t>−210</t>
  </si>
  <si>
    <t>−580</t>
  </si>
  <si>
    <t>−230</t>
  </si>
  <si>
    <t>−660</t>
  </si>
  <si>
    <t>−740</t>
  </si>
  <si>
    <t>−820</t>
  </si>
  <si>
    <t>−420</t>
  </si>
  <si>
    <t>−920</t>
  </si>
  <si>
    <t>−480</t>
  </si>
  <si>
    <t>−26</t>
  </si>
  <si>
    <t>−1,050</t>
  </si>
  <si>
    <t>−540</t>
  </si>
  <si>
    <t>−330</t>
  </si>
  <si>
    <t>−1,200</t>
  </si>
  <si>
    <t>−600</t>
  </si>
  <si>
    <t>−125</t>
  </si>
  <si>
    <t>−62</t>
  </si>
  <si>
    <t>−28</t>
  </si>
  <si>
    <t>−1,350</t>
  </si>
  <si>
    <t>−680</t>
  </si>
  <si>
    <t>−400</t>
  </si>
  <si>
    <t>−1,500</t>
  </si>
  <si>
    <t>−760</t>
  </si>
  <si>
    <t>−440</t>
  </si>
  <si>
    <t>−135</t>
  </si>
  <si>
    <t>−68</t>
  </si>
  <si>
    <t>−1,650</t>
  </si>
  <si>
    <t>−840</t>
  </si>
  <si>
    <t>−76</t>
  </si>
  <si>
    <t>−22</t>
  </si>
  <si>
    <t>−24</t>
  </si>
  <si>
    <t>−86</t>
  </si>
  <si>
    <t>−350</t>
  </si>
  <si>
    <t>−195</t>
  </si>
  <si>
    <t>−98</t>
  </si>
  <si>
    <t>−390</t>
  </si>
  <si>
    <t>−430</t>
  </si>
  <si>
    <t>−38</t>
  </si>
  <si>
    <t>至</t>
    <phoneticPr fontId="2" type="noConversion"/>
  </si>
  <si>
    <t>大於</t>
    <phoneticPr fontId="2" type="noConversion"/>
  </si>
  <si>
    <t>至</t>
    <phoneticPr fontId="1" type="noConversion"/>
  </si>
  <si>
    <t>大於</t>
    <phoneticPr fontId="1" type="noConversion"/>
  </si>
  <si>
    <r>
      <rPr>
        <sz val="12"/>
        <color rgb="FF9C0006"/>
        <rFont val="細明體"/>
        <family val="1"/>
        <charset val="136"/>
      </rPr>
      <t>偏差＝</t>
    </r>
    <r>
      <rPr>
        <sz val="12"/>
        <color rgb="FF9C0006"/>
        <rFont val="Times New Roman"/>
        <family val="1"/>
      </rPr>
      <t xml:space="preserve">±IT n /2 </t>
    </r>
    <r>
      <rPr>
        <sz val="12"/>
        <color rgb="FF9C0006"/>
        <rFont val="細明體"/>
        <family val="1"/>
        <charset val="136"/>
      </rPr>
      <t>，</t>
    </r>
    <r>
      <rPr>
        <sz val="12"/>
        <color rgb="FF9C0006"/>
        <rFont val="Times New Roman"/>
        <family val="1"/>
      </rPr>
      <t xml:space="preserve"> n </t>
    </r>
    <r>
      <rPr>
        <sz val="12"/>
        <color rgb="FF9C0006"/>
        <rFont val="細明體"/>
        <family val="1"/>
        <charset val="136"/>
      </rPr>
      <t>為標準公差等級數字。</t>
    </r>
    <r>
      <rPr>
        <sz val="12"/>
        <color rgb="FF9C0006"/>
        <rFont val="Times New Roman"/>
        <family val="1"/>
      </rPr>
      <t xml:space="preserve"> </t>
    </r>
    <phoneticPr fontId="1" type="noConversion"/>
  </si>
  <si>
    <t>k</t>
  </si>
  <si>
    <t>m</t>
  </si>
  <si>
    <t>n</t>
  </si>
  <si>
    <t>p</t>
  </si>
  <si>
    <t>r</t>
  </si>
  <si>
    <t>s</t>
  </si>
  <si>
    <t>t</t>
  </si>
  <si>
    <t>u</t>
  </si>
  <si>
    <t>v</t>
  </si>
  <si>
    <t>x</t>
  </si>
  <si>
    <t>y</t>
  </si>
  <si>
    <t>z</t>
  </si>
  <si>
    <t>IT5 及 IT6</t>
    <phoneticPr fontId="2" type="noConversion"/>
  </si>
  <si>
    <t>標稱尺度      mm</t>
    <phoneticPr fontId="2" type="noConversion"/>
  </si>
  <si>
    <r>
      <t>下限界偏差,</t>
    </r>
    <r>
      <rPr>
        <b/>
        <i/>
        <sz val="11"/>
        <color theme="1"/>
        <rFont val="新細明體"/>
        <family val="1"/>
        <charset val="136"/>
        <scheme val="minor"/>
      </rPr>
      <t>ei</t>
    </r>
    <phoneticPr fontId="2" type="noConversion"/>
  </si>
  <si>
    <r>
      <rPr>
        <b/>
        <sz val="11"/>
        <color theme="1"/>
        <rFont val="細明體"/>
        <family val="1"/>
        <charset val="136"/>
      </rPr>
      <t>標稱尺度</t>
    </r>
    <r>
      <rPr>
        <b/>
        <sz val="11"/>
        <color theme="1"/>
        <rFont val="Times New Roman"/>
        <family val="1"/>
      </rPr>
      <t xml:space="preserve">           mm</t>
    </r>
    <phoneticPr fontId="1" type="noConversion"/>
  </si>
  <si>
    <r>
      <t>上限界偏差,</t>
    </r>
    <r>
      <rPr>
        <b/>
        <i/>
        <sz val="11"/>
        <color theme="1"/>
        <rFont val="新細明體"/>
        <family val="1"/>
        <charset val="136"/>
        <scheme val="minor"/>
      </rPr>
      <t>es</t>
    </r>
    <phoneticPr fontId="2" type="noConversion"/>
  </si>
  <si>
    <r>
      <rPr>
        <b/>
        <sz val="11"/>
        <color theme="1"/>
        <rFont val="細明體"/>
        <family val="1"/>
        <charset val="136"/>
      </rPr>
      <t>上限界偏差</t>
    </r>
    <r>
      <rPr>
        <b/>
        <sz val="11"/>
        <color theme="1"/>
        <rFont val="Times New Roman"/>
        <family val="1"/>
      </rPr>
      <t>,</t>
    </r>
    <r>
      <rPr>
        <b/>
        <i/>
        <sz val="11"/>
        <color indexed="8"/>
        <rFont val="Times New Roman"/>
        <family val="1"/>
      </rPr>
      <t>ES</t>
    </r>
    <phoneticPr fontId="1" type="noConversion"/>
  </si>
  <si>
    <r>
      <rPr>
        <b/>
        <sz val="11"/>
        <color theme="1"/>
        <rFont val="細明體"/>
        <family val="1"/>
        <charset val="136"/>
      </rPr>
      <t>下限界偏差</t>
    </r>
    <r>
      <rPr>
        <b/>
        <sz val="11"/>
        <color theme="1"/>
        <rFont val="Times New Roman"/>
        <family val="1"/>
      </rPr>
      <t>,</t>
    </r>
    <r>
      <rPr>
        <b/>
        <i/>
        <sz val="11"/>
        <color indexed="8"/>
        <rFont val="Times New Roman"/>
        <family val="1"/>
      </rPr>
      <t>EI</t>
    </r>
    <phoneticPr fontId="1" type="noConversion"/>
  </si>
  <si>
    <r>
      <rPr>
        <b/>
        <sz val="11"/>
        <color theme="1"/>
        <rFont val="細明體"/>
        <family val="1"/>
        <charset val="136"/>
      </rPr>
      <t>標稱尺度</t>
    </r>
    <r>
      <rPr>
        <b/>
        <sz val="11"/>
        <color theme="1"/>
        <rFont val="Times New Roman"/>
        <family val="1"/>
      </rPr>
      <t xml:space="preserve">           mm</t>
    </r>
    <phoneticPr fontId="2" type="noConversion"/>
  </si>
  <si>
    <r>
      <rPr>
        <b/>
        <sz val="11"/>
        <color theme="1"/>
        <rFont val="細明體"/>
        <family val="1"/>
        <charset val="136"/>
      </rPr>
      <t>上限界偏差</t>
    </r>
    <r>
      <rPr>
        <b/>
        <sz val="11"/>
        <color theme="1"/>
        <rFont val="Times New Roman"/>
        <family val="1"/>
      </rPr>
      <t>,ES</t>
    </r>
    <phoneticPr fontId="1" type="noConversion"/>
  </si>
  <si>
    <r>
      <t>註(a) 基礎偏差A 及B 不適用於標稱尺度在 1 mm 以下者。
(b) 特殊情況：公差類別為M6，標稱尺度範圍在大於250 mm 至315 mm 者，ES=</t>
    </r>
    <r>
      <rPr>
        <sz val="11"/>
        <color theme="1"/>
        <rFont val="Cambria Math"/>
        <family val="1"/>
      </rPr>
      <t>−</t>
    </r>
    <r>
      <rPr>
        <sz val="11"/>
        <color theme="1"/>
        <rFont val="新細明體"/>
        <family val="1"/>
        <charset val="136"/>
        <scheme val="minor"/>
      </rPr>
      <t xml:space="preserve">9 </t>
    </r>
    <r>
      <rPr>
        <sz val="11"/>
        <color theme="1"/>
        <rFont val="Calibri"/>
        <family val="1"/>
        <charset val="161"/>
      </rPr>
      <t>μ</t>
    </r>
    <r>
      <rPr>
        <sz val="11"/>
        <color theme="1"/>
        <rFont val="新細明體"/>
        <family val="1"/>
        <charset val="136"/>
        <scheme val="minor"/>
      </rPr>
      <t>m(代替依計算結果之</t>
    </r>
    <r>
      <rPr>
        <sz val="11"/>
        <color theme="1"/>
        <rFont val="Cambria Math"/>
        <family val="1"/>
      </rPr>
      <t>−</t>
    </r>
    <r>
      <rPr>
        <sz val="11"/>
        <color theme="1"/>
        <rFont val="新細明體"/>
        <family val="1"/>
        <charset val="136"/>
        <scheme val="minor"/>
      </rPr>
      <t xml:space="preserve">11 </t>
    </r>
    <r>
      <rPr>
        <sz val="11"/>
        <color theme="1"/>
        <rFont val="Calibri"/>
        <family val="1"/>
        <charset val="161"/>
      </rPr>
      <t>μ</t>
    </r>
    <r>
      <rPr>
        <sz val="11"/>
        <color theme="1"/>
        <rFont val="新細明體"/>
        <family val="1"/>
        <charset val="136"/>
        <scheme val="minor"/>
      </rPr>
      <t>m)。
(c) 決定K 及M 之數值，參照 4.3.2.5。
(d) ⊿值參照表 3。</t>
    </r>
    <phoneticPr fontId="1" type="noConversion"/>
  </si>
  <si>
    <t>P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</si>
  <si>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</si>
  <si>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</si>
  <si>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</si>
  <si>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</si>
  <si>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</si>
  <si>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</si>
  <si>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</si>
  <si>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</si>
  <si>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ZA</t>
    <phoneticPr fontId="2" type="noConversion"/>
  </si>
  <si>
    <t>ZB</t>
    <phoneticPr fontId="2" type="noConversion"/>
  </si>
  <si>
    <t>ZC</t>
    <phoneticPr fontId="2" type="noConversion"/>
  </si>
  <si>
    <t>IT4</t>
    <phoneticPr fontId="2" type="noConversion"/>
  </si>
  <si>
    <t>IT6</t>
    <phoneticPr fontId="2" type="noConversion"/>
  </si>
  <si>
    <t>IT7</t>
    <phoneticPr fontId="2" type="noConversion"/>
  </si>
  <si>
    <t>IT8</t>
    <phoneticPr fontId="2" type="noConversion"/>
  </si>
  <si>
    <r>
      <rPr>
        <sz val="12"/>
        <color rgb="FF006100"/>
        <rFont val="Cambria Math"/>
        <family val="1"/>
      </rPr>
      <t>−</t>
    </r>
    <r>
      <rPr>
        <sz val="12"/>
        <color rgb="FF006100"/>
        <rFont val="Times New Roman"/>
        <family val="1"/>
      </rPr>
      <t>15 + Δ</t>
    </r>
    <phoneticPr fontId="1" type="noConversion"/>
  </si>
  <si>
    <r>
      <rPr>
        <sz val="12"/>
        <color rgb="FF006100"/>
        <rFont val="Cambria Math"/>
        <family val="1"/>
      </rPr>
      <t>−</t>
    </r>
    <r>
      <rPr>
        <sz val="12"/>
        <color rgb="FF006100"/>
        <rFont val="Times New Roman"/>
        <family val="1"/>
      </rPr>
      <t>4 + Δ</t>
    </r>
    <phoneticPr fontId="1" type="noConversion"/>
  </si>
  <si>
    <r>
      <t>Δ</t>
    </r>
    <r>
      <rPr>
        <sz val="12"/>
        <color rgb="FF006100"/>
        <rFont val="Microsoft JhengHei"/>
        <family val="1"/>
        <charset val="136"/>
      </rPr>
      <t>值</t>
    </r>
    <r>
      <rPr>
        <sz val="12"/>
        <color rgb="FF006100"/>
        <rFont val="Times New Roman"/>
        <family val="1"/>
      </rPr>
      <t xml:space="preserve">                                                                                                                                                          </t>
    </r>
    <r>
      <rPr>
        <sz val="12"/>
        <color rgb="FF006100"/>
        <rFont val="細明體"/>
        <family val="1"/>
        <charset val="136"/>
      </rPr>
      <t>標準公差等級</t>
    </r>
    <phoneticPr fontId="2" type="noConversion"/>
  </si>
  <si>
    <r>
      <rPr>
        <sz val="12"/>
        <color rgb="FF9C0006"/>
        <rFont val="Microsoft JhengHei"/>
        <family val="1"/>
      </rPr>
      <t>其數值為標準公差等級大於</t>
    </r>
    <r>
      <rPr>
        <sz val="12"/>
        <color rgb="FF9C0006"/>
        <rFont val="Times New Roman"/>
        <family val="1"/>
      </rPr>
      <t>IT7</t>
    </r>
    <r>
      <rPr>
        <sz val="12"/>
        <color rgb="FF9C0006"/>
        <rFont val="細明體"/>
        <family val="1"/>
        <charset val="136"/>
      </rPr>
      <t>之值加上</t>
    </r>
    <r>
      <rPr>
        <sz val="12"/>
        <color rgb="FF9C0006"/>
        <rFont val="Calibri"/>
        <family val="1"/>
        <charset val="161"/>
      </rPr>
      <t>Δ</t>
    </r>
    <r>
      <rPr>
        <sz val="12"/>
        <color rgb="FF9C0006"/>
        <rFont val="Microsoft JhengHei"/>
        <family val="1"/>
        <charset val="136"/>
      </rPr>
      <t>值</t>
    </r>
    <phoneticPr fontId="2" type="noConversion"/>
  </si>
  <si>
    <r>
      <rPr>
        <sz val="12"/>
        <color rgb="FF006100"/>
        <rFont val="Cambria Math"/>
        <family val="1"/>
      </rPr>
      <t>−</t>
    </r>
    <r>
      <rPr>
        <sz val="12"/>
        <color rgb="FF006100"/>
        <rFont val="Times New Roman"/>
        <family val="1"/>
      </rPr>
      <t>8 + Δ</t>
    </r>
    <phoneticPr fontId="1" type="noConversion"/>
  </si>
  <si>
    <r>
      <t>註</t>
    </r>
    <r>
      <rPr>
        <sz val="9"/>
        <color theme="1"/>
        <rFont val="新細明體"/>
        <family val="1"/>
        <charset val="136"/>
        <scheme val="minor"/>
      </rPr>
      <t>(a)</t>
    </r>
    <r>
      <rPr>
        <sz val="11"/>
        <color theme="1"/>
        <rFont val="新細明體"/>
        <family val="1"/>
        <charset val="136"/>
        <scheme val="minor"/>
      </rPr>
      <t>基礎偏差a及b不適用於標稱尺度在1 mm以下者。</t>
    </r>
    <phoneticPr fontId="2" type="noConversion"/>
  </si>
  <si>
    <t>IT3</t>
    <phoneticPr fontId="2" type="noConversion"/>
  </si>
  <si>
    <t>IT5</t>
    <phoneticPr fontId="2" type="noConversion"/>
  </si>
  <si>
    <t>-8 + Δ</t>
    <phoneticPr fontId="2" type="noConversion"/>
  </si>
  <si>
    <t>-10 + Δ</t>
    <phoneticPr fontId="2" type="noConversion"/>
  </si>
  <si>
    <r>
      <rPr>
        <sz val="12"/>
        <color rgb="FF006100"/>
        <rFont val="Cambria Math"/>
        <family val="1"/>
      </rPr>
      <t>−</t>
    </r>
    <r>
      <rPr>
        <sz val="12"/>
        <color rgb="FF006100"/>
        <rFont val="Times New Roman"/>
        <family val="1"/>
      </rPr>
      <t>6 + Δ</t>
    </r>
    <phoneticPr fontId="1" type="noConversion"/>
  </si>
  <si>
    <t>-12+Δ</t>
    <phoneticPr fontId="2" type="noConversion"/>
  </si>
  <si>
    <t>-15+Δ</t>
    <phoneticPr fontId="2" type="noConversion"/>
  </si>
  <si>
    <t>-17+Δ</t>
    <phoneticPr fontId="2" type="noConversion"/>
  </si>
  <si>
    <t>-20+Δ</t>
    <phoneticPr fontId="2" type="noConversion"/>
  </si>
  <si>
    <t>-23+Δ</t>
    <phoneticPr fontId="2" type="noConversion"/>
  </si>
  <si>
    <t>-27+Δ</t>
    <phoneticPr fontId="2" type="noConversion"/>
  </si>
  <si>
    <t>-31+Δ</t>
    <phoneticPr fontId="2" type="noConversion"/>
  </si>
  <si>
    <t>-34+Δ</t>
    <phoneticPr fontId="2" type="noConversion"/>
  </si>
  <si>
    <t>-37+Δ</t>
    <phoneticPr fontId="2" type="noConversion"/>
  </si>
  <si>
    <t>-40+Δ</t>
    <phoneticPr fontId="2" type="noConversion"/>
  </si>
  <si>
    <t>註(b)基礎偏差N之標準公差等及大於IT8時，不適用於標稱尺度在1 mm以下者。</t>
    <phoneticPr fontId="2" type="noConversion"/>
  </si>
  <si>
    <t>za</t>
  </si>
  <si>
    <t>zb</t>
  </si>
  <si>
    <t>zc</t>
  </si>
  <si>
    <r>
      <t>a</t>
    </r>
    <r>
      <rPr>
        <sz val="9"/>
        <color rgb="FF9C5700"/>
        <rFont val="Times New Roman"/>
        <family val="1"/>
      </rPr>
      <t>(a)</t>
    </r>
    <phoneticPr fontId="2" type="noConversion"/>
  </si>
  <si>
    <r>
      <t>b</t>
    </r>
    <r>
      <rPr>
        <sz val="9"/>
        <color rgb="FF9C5700"/>
        <rFont val="Times New Roman"/>
        <family val="1"/>
      </rPr>
      <t>(a)</t>
    </r>
    <phoneticPr fontId="2" type="noConversion"/>
  </si>
  <si>
    <r>
      <rPr>
        <sz val="12"/>
        <color rgb="FF9C0006"/>
        <rFont val="新細明體"/>
        <family val="1"/>
        <charset val="136"/>
      </rPr>
      <t>偏差＝</t>
    </r>
    <r>
      <rPr>
        <sz val="12"/>
        <color rgb="FF9C0006"/>
        <rFont val="Times New Roman"/>
        <family val="1"/>
      </rPr>
      <t xml:space="preserve">±IT n /2 </t>
    </r>
    <r>
      <rPr>
        <sz val="12"/>
        <color rgb="FF9C0006"/>
        <rFont val="新細明體"/>
        <family val="1"/>
        <charset val="136"/>
      </rPr>
      <t>，</t>
    </r>
    <r>
      <rPr>
        <sz val="12"/>
        <color rgb="FF9C0006"/>
        <rFont val="Times New Roman"/>
        <family val="1"/>
      </rPr>
      <t xml:space="preserve"> n </t>
    </r>
    <r>
      <rPr>
        <sz val="12"/>
        <color rgb="FF9C0006"/>
        <rFont val="新細明體"/>
        <family val="1"/>
        <charset val="136"/>
      </rPr>
      <t>為標準公差等級數字。</t>
    </r>
    <r>
      <rPr>
        <sz val="12"/>
        <color rgb="FF9C0006"/>
        <rFont val="Times New Roman"/>
        <family val="1"/>
      </rPr>
      <t xml:space="preserve"> </t>
    </r>
    <phoneticPr fontId="2" type="noConversion"/>
  </si>
  <si>
    <r>
      <rPr>
        <sz val="12"/>
        <color rgb="FF9C5700"/>
        <rFont val="新細明體"/>
        <family val="1"/>
        <charset val="136"/>
      </rPr>
      <t>－</t>
    </r>
  </si>
  <si>
    <r>
      <rPr>
        <b/>
        <sz val="11"/>
        <color theme="1"/>
        <rFont val="細明體"/>
        <family val="1"/>
        <charset val="136"/>
      </rPr>
      <t>標稱尺度</t>
    </r>
    <r>
      <rPr>
        <b/>
        <sz val="11"/>
        <color theme="1"/>
        <rFont val="Times New Roman"/>
        <family val="1"/>
      </rPr>
      <t xml:space="preserve">                        mm</t>
    </r>
    <phoneticPr fontId="1" type="noConversion"/>
  </si>
  <si>
    <t>標稱尺度            mm</t>
    <phoneticPr fontId="2" type="noConversion"/>
  </si>
  <si>
    <t>IT4     至     IT7</t>
    <phoneticPr fontId="2" type="noConversion"/>
  </si>
  <si>
    <t>IT3以下及大於IT7</t>
    <phoneticPr fontId="2" type="noConversion"/>
  </si>
  <si>
    <t>+0</t>
    <phoneticPr fontId="2" type="noConversion"/>
  </si>
  <si>
    <t>+1</t>
    <phoneticPr fontId="2" type="noConversion"/>
  </si>
  <si>
    <t>+2</t>
    <phoneticPr fontId="2" type="noConversion"/>
  </si>
  <si>
    <t>+3</t>
    <phoneticPr fontId="2" type="noConversion"/>
  </si>
  <si>
    <t>+4</t>
    <phoneticPr fontId="2" type="noConversion"/>
  </si>
  <si>
    <t>+5</t>
    <phoneticPr fontId="2" type="noConversion"/>
  </si>
  <si>
    <t>+60</t>
    <phoneticPr fontId="2" type="noConversion"/>
  </si>
  <si>
    <t>+80</t>
    <phoneticPr fontId="2" type="noConversion"/>
  </si>
  <si>
    <t>+6</t>
    <phoneticPr fontId="2" type="noConversion"/>
  </si>
  <si>
    <t>+7</t>
    <phoneticPr fontId="2" type="noConversion"/>
  </si>
  <si>
    <t>+8</t>
    <phoneticPr fontId="2" type="noConversion"/>
  </si>
  <si>
    <t>+9</t>
    <phoneticPr fontId="2" type="noConversion"/>
  </si>
  <si>
    <t>+11</t>
    <phoneticPr fontId="2" type="noConversion"/>
  </si>
  <si>
    <t>+13</t>
    <phoneticPr fontId="2" type="noConversion"/>
  </si>
  <si>
    <t>+15</t>
    <phoneticPr fontId="2" type="noConversion"/>
  </si>
  <si>
    <t>+17</t>
    <phoneticPr fontId="2" type="noConversion"/>
  </si>
  <si>
    <t>+20</t>
    <phoneticPr fontId="2" type="noConversion"/>
  </si>
  <si>
    <t>+21</t>
    <phoneticPr fontId="2" type="noConversion"/>
  </si>
  <si>
    <t>+23</t>
    <phoneticPr fontId="2" type="noConversion"/>
  </si>
  <si>
    <t>+26</t>
    <phoneticPr fontId="2" type="noConversion"/>
  </si>
  <si>
    <t>+30</t>
    <phoneticPr fontId="2" type="noConversion"/>
  </si>
  <si>
    <t>+34</t>
    <phoneticPr fontId="2" type="noConversion"/>
  </si>
  <si>
    <t>+40</t>
    <phoneticPr fontId="2" type="noConversion"/>
  </si>
  <si>
    <t>+48</t>
  </si>
  <si>
    <t>+48</t>
    <phoneticPr fontId="2" type="noConversion"/>
  </si>
  <si>
    <t>+58</t>
    <phoneticPr fontId="2" type="noConversion"/>
  </si>
  <si>
    <t>+68</t>
    <phoneticPr fontId="2" type="noConversion"/>
  </si>
  <si>
    <t>+76</t>
    <phoneticPr fontId="2" type="noConversion"/>
  </si>
  <si>
    <t>+19</t>
  </si>
  <si>
    <t>+42</t>
  </si>
  <si>
    <t>+52</t>
  </si>
  <si>
    <t>+97</t>
  </si>
  <si>
    <t>+64</t>
  </si>
  <si>
    <t>+45</t>
  </si>
  <si>
    <t>+77</t>
  </si>
  <si>
    <t>+108</t>
  </si>
  <si>
    <t>+54</t>
  </si>
  <si>
    <t>+63</t>
  </si>
  <si>
    <t>+73</t>
  </si>
  <si>
    <t>+136</t>
  </si>
  <si>
    <t>+75</t>
  </si>
  <si>
    <t>+88</t>
  </si>
  <si>
    <t>+118</t>
  </si>
  <si>
    <t>+218</t>
  </si>
  <si>
    <t>+94</t>
  </si>
  <si>
    <t>+112</t>
  </si>
  <si>
    <t>+148</t>
  </si>
  <si>
    <t>+274</t>
  </si>
  <si>
    <t>+81</t>
  </si>
  <si>
    <t>+114</t>
  </si>
  <si>
    <t>+53</t>
  </si>
  <si>
    <t>+87</t>
  </si>
  <si>
    <t>+102</t>
  </si>
  <si>
    <t>+122</t>
  </si>
  <si>
    <t>+144</t>
  </si>
  <si>
    <t>+172</t>
  </si>
  <si>
    <t>+226</t>
  </si>
  <si>
    <t>+59</t>
  </si>
  <si>
    <t>+146</t>
  </si>
  <si>
    <t>+174</t>
  </si>
  <si>
    <t>+37</t>
  </si>
  <si>
    <t>+51</t>
  </si>
  <si>
    <t>+71</t>
  </si>
  <si>
    <t>+91</t>
  </si>
  <si>
    <t>+124</t>
  </si>
  <si>
    <t>+178</t>
  </si>
  <si>
    <t>+214</t>
  </si>
  <si>
    <t>+258</t>
  </si>
  <si>
    <t>+335</t>
  </si>
  <si>
    <t>+79</t>
  </si>
  <si>
    <t>+104</t>
  </si>
  <si>
    <t>+254</t>
  </si>
  <si>
    <t>+525</t>
  </si>
  <si>
    <t>+27</t>
  </si>
  <si>
    <t>+92</t>
  </si>
  <si>
    <t>+202</t>
  </si>
  <si>
    <t>+248</t>
  </si>
  <si>
    <t>+365</t>
  </si>
  <si>
    <t>+470</t>
  </si>
  <si>
    <t>+620</t>
  </si>
  <si>
    <t>+134</t>
  </si>
  <si>
    <t>+228</t>
  </si>
  <si>
    <t>+415</t>
  </si>
  <si>
    <t>+535</t>
  </si>
  <si>
    <t>+900</t>
  </si>
  <si>
    <t>+252</t>
  </si>
  <si>
    <t>+465</t>
  </si>
  <si>
    <t>+780</t>
  </si>
  <si>
    <t>+1,000</t>
  </si>
  <si>
    <t>+31</t>
  </si>
  <si>
    <t>+166</t>
  </si>
  <si>
    <t>+236</t>
  </si>
  <si>
    <t>+284</t>
  </si>
  <si>
    <t>+425</t>
  </si>
  <si>
    <t>+670</t>
  </si>
  <si>
    <t>+1,150</t>
  </si>
  <si>
    <t>+385</t>
  </si>
  <si>
    <t>+575</t>
  </si>
  <si>
    <t>+960</t>
  </si>
  <si>
    <t>+1,250</t>
  </si>
  <si>
    <t>+84</t>
  </si>
  <si>
    <t>+196</t>
  </si>
  <si>
    <t>+640</t>
  </si>
  <si>
    <t>+1,050</t>
  </si>
  <si>
    <t>+1,350</t>
  </si>
  <si>
    <t>+158</t>
  </si>
  <si>
    <t>+315</t>
  </si>
  <si>
    <t>+475</t>
  </si>
  <si>
    <t>+710</t>
  </si>
  <si>
    <t>+1,200</t>
  </si>
  <si>
    <t>+650</t>
  </si>
  <si>
    <t>+790</t>
  </si>
  <si>
    <t>+1,300</t>
  </si>
  <si>
    <t>+268</t>
  </si>
  <si>
    <t>+590</t>
  </si>
  <si>
    <t>+730</t>
  </si>
  <si>
    <t>+1,500</t>
  </si>
  <si>
    <t>+1,900</t>
  </si>
  <si>
    <t>+208</t>
  </si>
  <si>
    <t>+294</t>
  </si>
  <si>
    <t>+435</t>
  </si>
  <si>
    <t>+530</t>
  </si>
  <si>
    <t>+1,650</t>
  </si>
  <si>
    <t>+2,100</t>
  </si>
  <si>
    <t>+126</t>
  </si>
  <si>
    <t>+232</t>
  </si>
  <si>
    <t>+490</t>
  </si>
  <si>
    <t>+595</t>
  </si>
  <si>
    <t>+1,100</t>
  </si>
  <si>
    <t>+1,450</t>
  </si>
  <si>
    <t>+1,850</t>
  </si>
  <si>
    <t>+132</t>
  </si>
  <si>
    <t>+1,600</t>
  </si>
  <si>
    <t>+44</t>
  </si>
  <si>
    <t>+78</t>
  </si>
  <si>
    <t>+155</t>
  </si>
  <si>
    <t>+450</t>
  </si>
  <si>
    <t>+175</t>
  </si>
  <si>
    <t>+500</t>
  </si>
  <si>
    <t>+185</t>
  </si>
  <si>
    <t>+560</t>
  </si>
  <si>
    <t>+940</t>
  </si>
  <si>
    <t>+250</t>
  </si>
  <si>
    <t>+720</t>
  </si>
  <si>
    <t>+370</t>
  </si>
  <si>
    <t>+2,000</t>
  </si>
  <si>
    <t>+97</t>
    <phoneticPr fontId="2" type="noConversion"/>
  </si>
  <si>
    <t>+130</t>
    <phoneticPr fontId="2" type="noConversion"/>
  </si>
  <si>
    <t>+150</t>
    <phoneticPr fontId="2" type="noConversion"/>
  </si>
  <si>
    <t>+188</t>
    <phoneticPr fontId="2" type="noConversion"/>
  </si>
  <si>
    <t>+218</t>
    <phoneticPr fontId="2" type="noConversion"/>
  </si>
  <si>
    <t>+274</t>
    <phoneticPr fontId="2" type="noConversion"/>
  </si>
  <si>
    <t>+325</t>
    <phoneticPr fontId="2" type="noConversion"/>
  </si>
  <si>
    <t>+405</t>
    <phoneticPr fontId="2" type="noConversion"/>
  </si>
  <si>
    <t>+480</t>
    <phoneticPr fontId="2" type="noConversion"/>
  </si>
  <si>
    <t>+585</t>
    <phoneticPr fontId="2" type="noConversion"/>
  </si>
  <si>
    <t>+690</t>
    <phoneticPr fontId="2" type="noConversion"/>
  </si>
  <si>
    <t>+800</t>
    <phoneticPr fontId="2" type="noConversion"/>
  </si>
  <si>
    <t>+900</t>
    <phoneticPr fontId="2" type="noConversion"/>
  </si>
  <si>
    <t>+1000</t>
    <phoneticPr fontId="2" type="noConversion"/>
  </si>
  <si>
    <t>+1150</t>
    <phoneticPr fontId="2" type="noConversion"/>
  </si>
  <si>
    <t>+1250</t>
    <phoneticPr fontId="2" type="noConversion"/>
  </si>
  <si>
    <t>+1350</t>
    <phoneticPr fontId="2" type="noConversion"/>
  </si>
  <si>
    <t>+1550</t>
    <phoneticPr fontId="2" type="noConversion"/>
  </si>
  <si>
    <t>+1700</t>
    <phoneticPr fontId="2" type="noConversion"/>
  </si>
  <si>
    <t>+1900</t>
    <phoneticPr fontId="2" type="noConversion"/>
  </si>
  <si>
    <t>+2100</t>
    <phoneticPr fontId="2" type="noConversion"/>
  </si>
  <si>
    <t>+2400</t>
    <phoneticPr fontId="2" type="noConversion"/>
  </si>
  <si>
    <t>+2600</t>
    <phoneticPr fontId="2" type="noConversion"/>
  </si>
  <si>
    <t>+50</t>
    <phoneticPr fontId="2" type="noConversion"/>
  </si>
  <si>
    <t>+67</t>
    <phoneticPr fontId="2" type="noConversion"/>
  </si>
  <si>
    <t>+90</t>
    <phoneticPr fontId="2" type="noConversion"/>
  </si>
  <si>
    <t>+108</t>
    <phoneticPr fontId="2" type="noConversion"/>
  </si>
  <si>
    <t>+136</t>
    <phoneticPr fontId="2" type="noConversion"/>
  </si>
  <si>
    <t>+160</t>
    <phoneticPr fontId="2" type="noConversion"/>
  </si>
  <si>
    <t>+200</t>
    <phoneticPr fontId="2" type="noConversion"/>
  </si>
  <si>
    <t>+242</t>
    <phoneticPr fontId="2" type="noConversion"/>
  </si>
  <si>
    <t>+300</t>
    <phoneticPr fontId="2" type="noConversion"/>
  </si>
  <si>
    <t>+360</t>
    <phoneticPr fontId="2" type="noConversion"/>
  </si>
  <si>
    <t>+445</t>
    <phoneticPr fontId="2" type="noConversion"/>
  </si>
  <si>
    <t>+525</t>
    <phoneticPr fontId="2" type="noConversion"/>
  </si>
  <si>
    <t>+620</t>
    <phoneticPr fontId="2" type="noConversion"/>
  </si>
  <si>
    <t>+700</t>
    <phoneticPr fontId="2" type="noConversion"/>
  </si>
  <si>
    <t>+780</t>
    <phoneticPr fontId="2" type="noConversion"/>
  </si>
  <si>
    <t>+880</t>
    <phoneticPr fontId="2" type="noConversion"/>
  </si>
  <si>
    <t>+960</t>
    <phoneticPr fontId="2" type="noConversion"/>
  </si>
  <si>
    <t>+1050</t>
    <phoneticPr fontId="2" type="noConversion"/>
  </si>
  <si>
    <t>+1200</t>
    <phoneticPr fontId="2" type="noConversion"/>
  </si>
  <si>
    <t>+1300</t>
    <phoneticPr fontId="2" type="noConversion"/>
  </si>
  <si>
    <t>+1500</t>
    <phoneticPr fontId="2" type="noConversion"/>
  </si>
  <si>
    <t>+1650</t>
    <phoneticPr fontId="2" type="noConversion"/>
  </si>
  <si>
    <t>+1850</t>
    <phoneticPr fontId="2" type="noConversion"/>
  </si>
  <si>
    <t>+135</t>
    <phoneticPr fontId="2" type="noConversion"/>
  </si>
  <si>
    <t>+550</t>
  </si>
  <si>
    <t>+1,400</t>
  </si>
  <si>
    <t>+2,300</t>
  </si>
  <si>
    <t>+2,500</t>
  </si>
  <si>
    <t>+2,900</t>
  </si>
  <si>
    <t>+3,200</t>
  </si>
  <si>
    <t>IT01、IT0、IT1、IT2、IT3~IT18</t>
    <phoneticPr fontId="2" type="noConversion"/>
  </si>
  <si>
    <t xml:space="preserve">IT01、IT0、IT1、IT2、IT3~IT18 </t>
    <phoneticPr fontId="2" type="noConversion"/>
  </si>
  <si>
    <r>
      <rPr>
        <sz val="12"/>
        <color rgb="FF9C0006"/>
        <rFont val="Times New Roman"/>
        <family val="1"/>
      </rPr>
      <t>IT01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IT0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IT1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IT2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IT3~IT18</t>
    </r>
    <phoneticPr fontId="1" type="noConversion"/>
  </si>
  <si>
    <r>
      <t>IT01</t>
    </r>
    <r>
      <rPr>
        <sz val="12"/>
        <color rgb="FF006100"/>
        <rFont val="細明體"/>
        <family val="1"/>
        <charset val="136"/>
      </rPr>
      <t>、</t>
    </r>
    <r>
      <rPr>
        <sz val="12"/>
        <color rgb="FF006100"/>
        <rFont val="Times New Roman"/>
        <family val="1"/>
      </rPr>
      <t>IT0</t>
    </r>
    <r>
      <rPr>
        <sz val="12"/>
        <color rgb="FF006100"/>
        <rFont val="細明體"/>
        <family val="1"/>
        <charset val="136"/>
      </rPr>
      <t>、</t>
    </r>
    <r>
      <rPr>
        <sz val="12"/>
        <color rgb="FF006100"/>
        <rFont val="Times New Roman"/>
        <family val="1"/>
      </rPr>
      <t>IT1</t>
    </r>
    <r>
      <rPr>
        <sz val="12"/>
        <color rgb="FF006100"/>
        <rFont val="細明體"/>
        <family val="1"/>
        <charset val="136"/>
      </rPr>
      <t>、</t>
    </r>
    <r>
      <rPr>
        <sz val="12"/>
        <color rgb="FF006100"/>
        <rFont val="Times New Roman"/>
        <family val="1"/>
      </rPr>
      <t>IT2</t>
    </r>
    <r>
      <rPr>
        <sz val="12"/>
        <color rgb="FF006100"/>
        <rFont val="細明體"/>
        <family val="1"/>
        <charset val="136"/>
      </rPr>
      <t>、</t>
    </r>
    <r>
      <rPr>
        <sz val="12"/>
        <color rgb="FF006100"/>
        <rFont val="Times New Roman"/>
        <family val="1"/>
      </rPr>
      <t>IT3~IT8</t>
    </r>
    <phoneticPr fontId="1" type="noConversion"/>
  </si>
  <si>
    <t>IT9~IT8</t>
    <phoneticPr fontId="1" type="noConversion"/>
  </si>
  <si>
    <t>IT9~IT8</t>
    <phoneticPr fontId="2" type="noConversion"/>
  </si>
  <si>
    <r>
      <t>IT01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  <charset val="136"/>
      </rPr>
      <t>IT0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  <charset val="136"/>
      </rPr>
      <t>IT1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  <charset val="136"/>
      </rPr>
      <t>IT2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  <charset val="136"/>
      </rPr>
      <t>IT3~IT8</t>
    </r>
    <phoneticPr fontId="2" type="noConversion"/>
  </si>
  <si>
    <r>
      <t>IT01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IT0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IT1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IT2</t>
    </r>
    <r>
      <rPr>
        <sz val="12"/>
        <color rgb="FF9C0006"/>
        <rFont val="細明體"/>
        <family val="1"/>
        <charset val="136"/>
      </rPr>
      <t>、</t>
    </r>
    <r>
      <rPr>
        <sz val="12"/>
        <color rgb="FF9C0006"/>
        <rFont val="Times New Roman"/>
        <family val="1"/>
      </rPr>
      <t>IT3~IT8</t>
    </r>
    <phoneticPr fontId="2" type="noConversion"/>
  </si>
  <si>
    <t>N</t>
    <phoneticPr fontId="1" type="noConversion"/>
  </si>
  <si>
    <r>
      <t>P</t>
    </r>
    <r>
      <rPr>
        <sz val="12"/>
        <color rgb="FF9C5700"/>
        <rFont val="Microsoft JhengHei"/>
        <family val="1"/>
        <charset val="136"/>
      </rPr>
      <t>至</t>
    </r>
    <r>
      <rPr>
        <sz val="12"/>
        <color rgb="FF9C5700"/>
        <rFont val="Times New Roman"/>
        <family val="1"/>
      </rPr>
      <t>ZC</t>
    </r>
    <phoneticPr fontId="2" type="noConversion"/>
  </si>
  <si>
    <t>K</t>
    <phoneticPr fontId="1" type="noConversion"/>
  </si>
  <si>
    <t>M</t>
    <phoneticPr fontId="1" type="noConversion"/>
  </si>
  <si>
    <t>IT8~IT18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</si>
</sst>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i/>
      <sz val="11"/>
      <color indexed="8"/>
      <name val="Times New Roman"/>
      <family val="1"/>
    </font>
    <font>
      <sz val="12"/>
      <color rgb="FF9C5700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9C0006"/>
      <name val="Times New Roman"/>
      <family val="1"/>
    </font>
    <font>
      <sz val="12"/>
      <color rgb="FF006100"/>
      <name val="Times New Roman"/>
      <family val="1"/>
    </font>
    <font>
      <sz val="12"/>
      <color rgb="FF9C5700"/>
      <name val="Times New Roman"/>
      <family val="1"/>
    </font>
    <font>
      <b/>
      <sz val="11"/>
      <color theme="1"/>
      <name val="Times New Roman"/>
      <family val="1"/>
    </font>
    <font>
      <sz val="9"/>
      <color rgb="FF9C5700"/>
      <name val="Times New Roman"/>
      <family val="1"/>
    </font>
    <font>
      <sz val="12"/>
      <color rgb="FF9C5700"/>
      <name val="細明體"/>
      <family val="1"/>
      <charset val="136"/>
    </font>
    <font>
      <sz val="12"/>
      <color rgb="FF9C5700"/>
      <name val="Microsoft JhengHei"/>
      <family val="1"/>
    </font>
    <font>
      <sz val="12"/>
      <color rgb="FF9C0006"/>
      <name val="細明體"/>
      <family val="1"/>
      <charset val="136"/>
    </font>
    <font>
      <sz val="12"/>
      <color rgb="FF9C0006"/>
      <name val="Times New Roman"/>
      <family val="1"/>
      <charset val="136"/>
    </font>
    <font>
      <sz val="12"/>
      <color rgb="FF006100"/>
      <name val="Microsoft JhengHei"/>
      <family val="1"/>
      <charset val="136"/>
    </font>
    <font>
      <sz val="12"/>
      <color rgb="FF006100"/>
      <name val="細明體"/>
      <family val="1"/>
      <charset val="136"/>
    </font>
    <font>
      <b/>
      <sz val="11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b/>
      <i/>
      <sz val="11"/>
      <color theme="1"/>
      <name val="新細明體"/>
      <family val="1"/>
      <charset val="136"/>
      <scheme val="minor"/>
    </font>
    <font>
      <b/>
      <sz val="11"/>
      <color theme="1"/>
      <name val="細明體"/>
      <family val="1"/>
      <charset val="136"/>
    </font>
    <font>
      <b/>
      <sz val="11"/>
      <color theme="1"/>
      <name val="Times New Roman"/>
      <family val="1"/>
      <charset val="136"/>
    </font>
    <font>
      <sz val="11"/>
      <color theme="1"/>
      <name val="Cambria Math"/>
      <family val="1"/>
    </font>
    <font>
      <sz val="11"/>
      <color theme="1"/>
      <name val="Calibri"/>
      <family val="1"/>
      <charset val="161"/>
    </font>
    <font>
      <sz val="12"/>
      <color rgb="FF9C5700"/>
      <name val="Microsoft JhengHei"/>
      <family val="1"/>
      <charset val="136"/>
    </font>
    <font>
      <sz val="12"/>
      <color rgb="FF9C0006"/>
      <name val="Microsoft JhengHei"/>
      <family val="1"/>
    </font>
    <font>
      <sz val="12"/>
      <color rgb="FF9C0006"/>
      <name val="Microsoft JhengHei"/>
      <family val="1"/>
      <charset val="136"/>
    </font>
    <font>
      <sz val="12"/>
      <color rgb="FF006100"/>
      <name val="Cambria Math"/>
      <family val="1"/>
    </font>
    <font>
      <sz val="12"/>
      <color rgb="FF9C0006"/>
      <name val="Calibri"/>
      <family val="1"/>
      <charset val="161"/>
    </font>
    <font>
      <sz val="12"/>
      <color rgb="FF9C0006"/>
      <name val="Times New Roman"/>
      <family val="1"/>
      <charset val="2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80">
    <xf numFmtId="0" fontId="0" fillId="0" borderId="0" xfId="0"/>
    <xf numFmtId="0" fontId="7" fillId="4" borderId="1" xfId="3" applyFont="1" applyBorder="1" applyAlignment="1">
      <alignment horizontal="center" vertical="center"/>
    </xf>
    <xf numFmtId="0" fontId="8" fillId="3" borderId="1" xfId="2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 wrapText="1"/>
    </xf>
    <xf numFmtId="0" fontId="7" fillId="4" borderId="1" xfId="3" applyFont="1" applyBorder="1" applyAlignment="1">
      <alignment horizontal="center" vertical="center" wrapText="1"/>
    </xf>
    <xf numFmtId="0" fontId="8" fillId="3" borderId="1" xfId="2" applyFont="1" applyBorder="1" applyAlignment="1">
      <alignment horizontal="center" vertical="center" wrapText="1"/>
    </xf>
    <xf numFmtId="0" fontId="4" fillId="2" borderId="1" xfId="1" applyBorder="1" applyAlignment="1"/>
    <xf numFmtId="0" fontId="12" fillId="2" borderId="1" xfId="1" applyFont="1" applyBorder="1" applyAlignment="1">
      <alignment horizontal="center" vertical="center"/>
    </xf>
    <xf numFmtId="0" fontId="12" fillId="2" borderId="1" xfId="1" applyFont="1" applyBorder="1" applyAlignment="1">
      <alignment horizontal="center" vertical="center" wrapText="1"/>
    </xf>
    <xf numFmtId="0" fontId="15" fillId="4" borderId="1" xfId="3" applyFont="1" applyBorder="1" applyAlignment="1">
      <alignment vertical="center"/>
    </xf>
    <xf numFmtId="0" fontId="7" fillId="4" borderId="1" xfId="3" applyFont="1" applyBorder="1" applyAlignment="1">
      <alignment vertical="center"/>
    </xf>
    <xf numFmtId="0" fontId="30" fillId="4" borderId="1" xfId="3" applyFont="1" applyBorder="1" applyAlignment="1">
      <alignment horizontal="center" vertical="center" wrapText="1"/>
    </xf>
    <xf numFmtId="0" fontId="8" fillId="3" borderId="6" xfId="2" applyFont="1" applyBorder="1" applyAlignment="1">
      <alignment horizontal="center" vertical="center"/>
    </xf>
    <xf numFmtId="3" fontId="9" fillId="2" borderId="1" xfId="1" applyNumberFormat="1" applyFont="1" applyBorder="1" applyAlignment="1">
      <alignment horizontal="center" vertical="center"/>
    </xf>
    <xf numFmtId="3" fontId="4" fillId="2" borderId="1" xfId="1" applyNumberFormat="1" applyBorder="1" applyAlignment="1"/>
    <xf numFmtId="0" fontId="4" fillId="2" borderId="5" xfId="1" applyBorder="1" applyAlignment="1">
      <alignment horizontal="center" vertical="center"/>
    </xf>
    <xf numFmtId="0" fontId="4" fillId="2" borderId="2" xfId="1" applyBorder="1" applyAlignment="1"/>
    <xf numFmtId="3" fontId="4" fillId="2" borderId="2" xfId="1" applyNumberFormat="1" applyBorder="1" applyAlignment="1"/>
    <xf numFmtId="49" fontId="6" fillId="4" borderId="1" xfId="3" applyNumberFormat="1" applyBorder="1" applyAlignment="1">
      <alignment horizontal="center" vertical="center" wrapText="1"/>
    </xf>
    <xf numFmtId="49" fontId="6" fillId="4" borderId="5" xfId="3" applyNumberFormat="1" applyBorder="1" applyAlignment="1">
      <alignment horizontal="center" vertical="center" wrapText="1"/>
    </xf>
    <xf numFmtId="49" fontId="6" fillId="4" borderId="7" xfId="3" applyNumberForma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2" xfId="1" applyFont="1" applyBorder="1" applyAlignment="1">
      <alignment horizontal="center" vertical="center"/>
    </xf>
    <xf numFmtId="0" fontId="9" fillId="2" borderId="3" xfId="1" applyFont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3" fillId="2" borderId="1" xfId="1" applyFont="1" applyBorder="1" applyAlignment="1">
      <alignment horizontal="center" vertical="center" wrapText="1"/>
    </xf>
    <xf numFmtId="0" fontId="9" fillId="2" borderId="1" xfId="1" applyFont="1" applyBorder="1" applyAlignment="1">
      <alignment horizontal="center" vertical="center" wrapText="1"/>
    </xf>
    <xf numFmtId="0" fontId="12" fillId="2" borderId="1" xfId="1" applyFont="1" applyBorder="1" applyAlignment="1">
      <alignment horizontal="center" vertical="center" wrapText="1"/>
    </xf>
    <xf numFmtId="0" fontId="15" fillId="4" borderId="1" xfId="3" applyFont="1" applyBorder="1" applyAlignment="1">
      <alignment horizontal="center" vertical="center" wrapText="1"/>
    </xf>
    <xf numFmtId="0" fontId="7" fillId="4" borderId="1" xfId="3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2" borderId="9" xfId="1" applyFont="1" applyBorder="1" applyAlignment="1">
      <alignment horizontal="center" vertical="center" wrapText="1"/>
    </xf>
    <xf numFmtId="0" fontId="9" fillId="2" borderId="8" xfId="1" applyFont="1" applyBorder="1" applyAlignment="1">
      <alignment horizontal="center" vertical="center" wrapText="1"/>
    </xf>
    <xf numFmtId="0" fontId="8" fillId="3" borderId="1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top" wrapText="1"/>
    </xf>
    <xf numFmtId="0" fontId="8" fillId="3" borderId="7" xfId="2" applyFont="1" applyBorder="1" applyAlignment="1">
      <alignment horizontal="center" vertical="top" wrapText="1"/>
    </xf>
    <xf numFmtId="0" fontId="15" fillId="4" borderId="5" xfId="3" applyFont="1" applyBorder="1" applyAlignment="1">
      <alignment horizontal="center" vertical="center" wrapText="1"/>
    </xf>
    <xf numFmtId="0" fontId="7" fillId="4" borderId="6" xfId="3" applyFont="1" applyBorder="1" applyAlignment="1">
      <alignment horizontal="center" vertical="center" wrapText="1"/>
    </xf>
    <xf numFmtId="0" fontId="7" fillId="4" borderId="7" xfId="3" applyFont="1" applyBorder="1" applyAlignment="1">
      <alignment horizontal="center" vertical="center" wrapText="1"/>
    </xf>
    <xf numFmtId="0" fontId="8" fillId="3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3" applyFont="1" applyBorder="1" applyAlignment="1">
      <alignment horizontal="center" vertical="center"/>
    </xf>
    <xf numFmtId="49" fontId="7" fillId="4" borderId="1" xfId="3" applyNumberFormat="1" applyFont="1" applyBorder="1" applyAlignment="1">
      <alignment horizontal="center" vertical="center"/>
    </xf>
    <xf numFmtId="49" fontId="7" fillId="4" borderId="5" xfId="3" applyNumberFormat="1" applyFont="1" applyBorder="1" applyAlignment="1">
      <alignment horizontal="center" vertical="center"/>
    </xf>
    <xf numFmtId="49" fontId="7" fillId="4" borderId="6" xfId="3" applyNumberFormat="1" applyFont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7" fillId="4" borderId="7" xfId="3" applyFont="1" applyBorder="1" applyAlignment="1">
      <alignment horizontal="center" vertical="center"/>
    </xf>
    <xf numFmtId="0" fontId="7" fillId="4" borderId="5" xfId="3" applyFont="1" applyBorder="1" applyAlignment="1">
      <alignment horizontal="center" vertical="center" wrapText="1"/>
    </xf>
    <xf numFmtId="0" fontId="7" fillId="4" borderId="6" xfId="3" applyFont="1" applyBorder="1" applyAlignment="1">
      <alignment horizontal="center" vertical="center"/>
    </xf>
    <xf numFmtId="49" fontId="7" fillId="4" borderId="7" xfId="3" applyNumberFormat="1" applyFont="1" applyBorder="1" applyAlignment="1">
      <alignment horizontal="center" vertical="center"/>
    </xf>
    <xf numFmtId="0" fontId="8" fillId="3" borderId="10" xfId="2" applyFont="1" applyBorder="1" applyAlignment="1">
      <alignment horizontal="center" vertical="center" wrapText="1"/>
    </xf>
    <xf numFmtId="0" fontId="8" fillId="3" borderId="0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/>
    </xf>
    <xf numFmtId="0" fontId="25" fillId="2" borderId="1" xfId="1" applyFont="1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/>
    </xf>
    <xf numFmtId="0" fontId="7" fillId="4" borderId="3" xfId="3" applyFont="1" applyBorder="1" applyAlignment="1">
      <alignment horizontal="center" vertical="center"/>
    </xf>
    <xf numFmtId="0" fontId="7" fillId="4" borderId="4" xfId="3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6" fillId="4" borderId="1" xfId="3" applyBorder="1" applyAlignment="1">
      <alignment horizontal="center" vertical="center" wrapText="1"/>
    </xf>
    <xf numFmtId="0" fontId="5" fillId="3" borderId="1" xfId="2" applyBorder="1" applyAlignment="1">
      <alignment horizontal="center" vertical="center" wrapText="1"/>
    </xf>
    <xf numFmtId="0" fontId="4" fillId="2" borderId="1" xfId="1" applyBorder="1" applyAlignment="1">
      <alignment horizontal="center" vertical="center" wrapText="1"/>
    </xf>
    <xf numFmtId="49" fontId="6" fillId="4" borderId="5" xfId="3" applyNumberFormat="1" applyBorder="1" applyAlignment="1">
      <alignment horizontal="center" vertical="center" wrapText="1"/>
    </xf>
    <xf numFmtId="49" fontId="6" fillId="4" borderId="7" xfId="3" applyNumberFormat="1" applyBorder="1" applyAlignment="1">
      <alignment horizontal="center" vertical="center" wrapText="1"/>
    </xf>
    <xf numFmtId="49" fontId="6" fillId="4" borderId="1" xfId="3" applyNumberFormat="1" applyBorder="1" applyAlignment="1">
      <alignment horizontal="center" vertical="center" wrapText="1"/>
    </xf>
    <xf numFmtId="49" fontId="6" fillId="4" borderId="6" xfId="3" applyNumberForma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4" fillId="2" borderId="5" xfId="1" applyBorder="1" applyAlignment="1">
      <alignment horizontal="center" vertical="center"/>
    </xf>
  </cellXfs>
  <cellStyles count="4">
    <cellStyle name="一般" xfId="0" builtinId="0"/>
    <cellStyle name="中等" xfId="1" builtinId="28"/>
    <cellStyle name="好" xfId="2" builtinId="26"/>
    <cellStyle name="壞" xfId="3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214D-A268-4E84-A96F-FD2135AAD23E}">
  <sheetPr codeName="工作表1"/>
  <dimension ref="A1:V23"/>
  <sheetViews>
    <sheetView topLeftCell="B1" workbookViewId="0">
      <pane xSplit="1" topLeftCell="C1" activePane="topRight" state="frozen"/>
      <selection activeCell="B2" sqref="B2"/>
      <selection pane="topRight" activeCell="R18" sqref="R18"/>
    </sheetView>
  </sheetViews>
  <sheetFormatPr defaultRowHeight="15"/>
  <cols>
    <col min="2" max="2" width="12.25" customWidth="1"/>
    <col min="3" max="3" width="10.125" customWidth="1"/>
  </cols>
  <sheetData>
    <row r="1" spans="1:22" ht="48.6" customHeight="1">
      <c r="A1" s="22" t="s">
        <v>327</v>
      </c>
      <c r="B1" s="23"/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142</v>
      </c>
      <c r="K1" s="1" t="s">
        <v>146</v>
      </c>
      <c r="L1" s="1" t="s">
        <v>148</v>
      </c>
      <c r="M1" s="1" t="s">
        <v>186</v>
      </c>
      <c r="N1" s="1" t="s">
        <v>187</v>
      </c>
      <c r="O1" s="1" t="s">
        <v>188</v>
      </c>
      <c r="P1" s="2" t="s">
        <v>189</v>
      </c>
      <c r="Q1" s="2" t="s">
        <v>190</v>
      </c>
      <c r="R1" s="2" t="s">
        <v>191</v>
      </c>
      <c r="S1" s="2" t="s">
        <v>192</v>
      </c>
      <c r="T1" s="2" t="s">
        <v>193</v>
      </c>
      <c r="U1" s="2" t="s">
        <v>194</v>
      </c>
      <c r="V1" s="2" t="s">
        <v>195</v>
      </c>
    </row>
    <row r="2" spans="1:22" ht="31.2" customHeight="1">
      <c r="A2" s="8" t="s">
        <v>304</v>
      </c>
      <c r="B2" s="9" t="s">
        <v>303</v>
      </c>
      <c r="C2" s="24" t="s">
        <v>196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</row>
    <row r="3" spans="1:22" ht="15.6">
      <c r="A3" s="3">
        <v>0</v>
      </c>
      <c r="B3" s="3">
        <v>3</v>
      </c>
      <c r="C3" s="1">
        <f>0.3</f>
        <v>0.3</v>
      </c>
      <c r="D3" s="1">
        <f>0.5</f>
        <v>0.5</v>
      </c>
      <c r="E3" s="1">
        <f>0.8</f>
        <v>0.8</v>
      </c>
      <c r="F3" s="1">
        <f>1.2</f>
        <v>1.2</v>
      </c>
      <c r="G3" s="1">
        <f>2</f>
        <v>2</v>
      </c>
      <c r="H3" s="1">
        <f>3</f>
        <v>3</v>
      </c>
      <c r="I3" s="1">
        <f>4</f>
        <v>4</v>
      </c>
      <c r="J3" s="1">
        <f>6</f>
        <v>6</v>
      </c>
      <c r="K3" s="1">
        <f>10</f>
        <v>10</v>
      </c>
      <c r="L3" s="1">
        <f>14</f>
        <v>14</v>
      </c>
      <c r="M3" s="1">
        <f>25</f>
        <v>25</v>
      </c>
      <c r="N3" s="1">
        <f>40</f>
        <v>40</v>
      </c>
      <c r="O3" s="1">
        <f>60</f>
        <v>60</v>
      </c>
      <c r="P3" s="2">
        <f>(0.1)*(1000)</f>
        <v>100</v>
      </c>
      <c r="Q3" s="2">
        <f>(0.14)*(1000)</f>
        <v>140</v>
      </c>
      <c r="R3" s="2">
        <f>(0.25)*(1000)</f>
        <v>250</v>
      </c>
      <c r="S3" s="2">
        <f>(0.4)*(1000)</f>
        <v>400</v>
      </c>
      <c r="T3" s="2">
        <f>(0.6)*(1000)</f>
        <v>600</v>
      </c>
      <c r="U3" s="2">
        <f>(1)*(1000)</f>
        <v>1000</v>
      </c>
      <c r="V3" s="2">
        <f>(1.4)*(1000)</f>
        <v>1400</v>
      </c>
    </row>
    <row r="4" spans="1:22" ht="15.6">
      <c r="A4" s="3">
        <v>3</v>
      </c>
      <c r="B4" s="3">
        <v>6</v>
      </c>
      <c r="C4" s="1">
        <f>0.4</f>
        <v>0.4</v>
      </c>
      <c r="D4" s="1">
        <f>0.6</f>
        <v>0.6</v>
      </c>
      <c r="E4" s="1">
        <f>1</f>
        <v>1</v>
      </c>
      <c r="F4" s="1">
        <f>1.5</f>
        <v>1.5</v>
      </c>
      <c r="G4" s="1">
        <f>2.5</f>
        <v>2.5</v>
      </c>
      <c r="H4" s="1">
        <f>4</f>
        <v>4</v>
      </c>
      <c r="I4" s="1">
        <f>5</f>
        <v>5</v>
      </c>
      <c r="J4" s="1">
        <f>8</f>
        <v>8</v>
      </c>
      <c r="K4" s="1">
        <f>12</f>
        <v>12</v>
      </c>
      <c r="L4" s="1">
        <f>18</f>
        <v>18</v>
      </c>
      <c r="M4" s="1">
        <f>30</f>
        <v>30</v>
      </c>
      <c r="N4" s="1">
        <f>48</f>
        <v>48</v>
      </c>
      <c r="O4" s="1">
        <f>75</f>
        <v>75</v>
      </c>
      <c r="P4" s="2">
        <f>(0.12)*(1000)</f>
        <v>120</v>
      </c>
      <c r="Q4" s="2">
        <f>(0.18)*(1000)</f>
        <v>180</v>
      </c>
      <c r="R4" s="2">
        <f>(0.3)*(1000)</f>
        <v>300</v>
      </c>
      <c r="S4" s="2">
        <f>(0.48)*(1000)</f>
        <v>480</v>
      </c>
      <c r="T4" s="2">
        <f>(0.75)*(1000)</f>
        <v>750</v>
      </c>
      <c r="U4" s="2">
        <f>(1.2)*(1000)</f>
        <v>1200</v>
      </c>
      <c r="V4" s="2">
        <f>(1.8)*(1000)</f>
        <v>1800</v>
      </c>
    </row>
    <row r="5" spans="1:22" ht="15.6">
      <c r="A5" s="3">
        <v>6</v>
      </c>
      <c r="B5" s="3">
        <v>10</v>
      </c>
      <c r="C5" s="1">
        <f>0.4</f>
        <v>0.4</v>
      </c>
      <c r="D5" s="1">
        <f>0.6</f>
        <v>0.6</v>
      </c>
      <c r="E5" s="1">
        <f>1</f>
        <v>1</v>
      </c>
      <c r="F5" s="1">
        <f>1.5</f>
        <v>1.5</v>
      </c>
      <c r="G5" s="1">
        <f>2.5</f>
        <v>2.5</v>
      </c>
      <c r="H5" s="1">
        <f>4</f>
        <v>4</v>
      </c>
      <c r="I5" s="1">
        <f>6</f>
        <v>6</v>
      </c>
      <c r="J5" s="1">
        <f>9</f>
        <v>9</v>
      </c>
      <c r="K5" s="1">
        <f>15</f>
        <v>15</v>
      </c>
      <c r="L5" s="1">
        <f>22</f>
        <v>22</v>
      </c>
      <c r="M5" s="1">
        <f>36</f>
        <v>36</v>
      </c>
      <c r="N5" s="1">
        <f>58</f>
        <v>58</v>
      </c>
      <c r="O5" s="1">
        <f>90</f>
        <v>90</v>
      </c>
      <c r="P5" s="2">
        <f>(0.15)*(1000)</f>
        <v>150</v>
      </c>
      <c r="Q5" s="2">
        <f>(0.22)*(1000)</f>
        <v>220</v>
      </c>
      <c r="R5" s="2">
        <f>(0.36)*(1000)</f>
        <v>360</v>
      </c>
      <c r="S5" s="2">
        <f>(0.58)*(1000)</f>
        <v>580</v>
      </c>
      <c r="T5" s="2">
        <f>(0.9)*(1000)</f>
        <v>900</v>
      </c>
      <c r="U5" s="2">
        <f>(1.5)*(1000)</f>
        <v>1500</v>
      </c>
      <c r="V5" s="2">
        <f>(2.2)*(1000)</f>
        <v>2200</v>
      </c>
    </row>
    <row r="6" spans="1:22" ht="15.6">
      <c r="A6" s="3">
        <v>10</v>
      </c>
      <c r="B6" s="3">
        <v>18</v>
      </c>
      <c r="C6" s="1">
        <f>0.5</f>
        <v>0.5</v>
      </c>
      <c r="D6" s="1">
        <f>0.8</f>
        <v>0.8</v>
      </c>
      <c r="E6" s="1">
        <f>1.2</f>
        <v>1.2</v>
      </c>
      <c r="F6" s="1">
        <f>2</f>
        <v>2</v>
      </c>
      <c r="G6" s="1">
        <f>3</f>
        <v>3</v>
      </c>
      <c r="H6" s="1">
        <f>5</f>
        <v>5</v>
      </c>
      <c r="I6" s="1">
        <f>8</f>
        <v>8</v>
      </c>
      <c r="J6" s="1">
        <f>11</f>
        <v>11</v>
      </c>
      <c r="K6" s="1">
        <f>18</f>
        <v>18</v>
      </c>
      <c r="L6" s="1">
        <f>27</f>
        <v>27</v>
      </c>
      <c r="M6" s="1">
        <f>43</f>
        <v>43</v>
      </c>
      <c r="N6" s="1">
        <f>70</f>
        <v>70</v>
      </c>
      <c r="O6" s="1">
        <f>110</f>
        <v>110</v>
      </c>
      <c r="P6" s="2">
        <f>(0.18)*(1000)</f>
        <v>180</v>
      </c>
      <c r="Q6" s="2">
        <f>(0.27)*(1000)</f>
        <v>270</v>
      </c>
      <c r="R6" s="2">
        <f>(0.43)*(1000)</f>
        <v>430</v>
      </c>
      <c r="S6" s="2">
        <f>(0.7)*(1000)</f>
        <v>700</v>
      </c>
      <c r="T6" s="2">
        <f>(1.1)*(1000)</f>
        <v>1100</v>
      </c>
      <c r="U6" s="2">
        <f>(1.8)*(1000)</f>
        <v>1800</v>
      </c>
      <c r="V6" s="2">
        <f>(2.7)*(1000)</f>
        <v>2700</v>
      </c>
    </row>
    <row r="7" spans="1:22" ht="15.6">
      <c r="A7" s="3">
        <v>18</v>
      </c>
      <c r="B7" s="3">
        <v>30</v>
      </c>
      <c r="C7" s="1">
        <f>0.6</f>
        <v>0.6</v>
      </c>
      <c r="D7" s="1">
        <f>1</f>
        <v>1</v>
      </c>
      <c r="E7" s="1">
        <f>1.5</f>
        <v>1.5</v>
      </c>
      <c r="F7" s="1">
        <f>2.5</f>
        <v>2.5</v>
      </c>
      <c r="G7" s="1">
        <f>4</f>
        <v>4</v>
      </c>
      <c r="H7" s="1">
        <f>6</f>
        <v>6</v>
      </c>
      <c r="I7" s="1">
        <f>9</f>
        <v>9</v>
      </c>
      <c r="J7" s="1">
        <f>13</f>
        <v>13</v>
      </c>
      <c r="K7" s="1">
        <f>21</f>
        <v>21</v>
      </c>
      <c r="L7" s="1">
        <f>33</f>
        <v>33</v>
      </c>
      <c r="M7" s="1">
        <f>52</f>
        <v>52</v>
      </c>
      <c r="N7" s="1">
        <f>84</f>
        <v>84</v>
      </c>
      <c r="O7" s="1">
        <f>130</f>
        <v>130</v>
      </c>
      <c r="P7" s="2">
        <f>(0.21)*(1000)</f>
        <v>210</v>
      </c>
      <c r="Q7" s="2">
        <f>(0.33)*(1000)</f>
        <v>330</v>
      </c>
      <c r="R7" s="2">
        <f>(0.52)*(1000)</f>
        <v>520</v>
      </c>
      <c r="S7" s="2">
        <f>(0.84)*(1000)</f>
        <v>840</v>
      </c>
      <c r="T7" s="2">
        <f>(1.3)*(1000)</f>
        <v>1300</v>
      </c>
      <c r="U7" s="2">
        <f>(2.1)*(1000)</f>
        <v>2100</v>
      </c>
      <c r="V7" s="2">
        <f>(3.3)*(1000)</f>
        <v>3300</v>
      </c>
    </row>
    <row r="8" spans="1:22" ht="15.6">
      <c r="A8" s="3">
        <v>30</v>
      </c>
      <c r="B8" s="3">
        <v>50</v>
      </c>
      <c r="C8" s="1">
        <f>0.6</f>
        <v>0.6</v>
      </c>
      <c r="D8" s="1">
        <f>1</f>
        <v>1</v>
      </c>
      <c r="E8" s="1">
        <f>1.5</f>
        <v>1.5</v>
      </c>
      <c r="F8" s="1">
        <f>2.5</f>
        <v>2.5</v>
      </c>
      <c r="G8" s="1">
        <f>4</f>
        <v>4</v>
      </c>
      <c r="H8" s="1">
        <f>7</f>
        <v>7</v>
      </c>
      <c r="I8" s="1">
        <f>11</f>
        <v>11</v>
      </c>
      <c r="J8" s="1">
        <f>16</f>
        <v>16</v>
      </c>
      <c r="K8" s="1">
        <f>25</f>
        <v>25</v>
      </c>
      <c r="L8" s="1">
        <f>39</f>
        <v>39</v>
      </c>
      <c r="M8" s="1">
        <f>62</f>
        <v>62</v>
      </c>
      <c r="N8" s="1">
        <f>100</f>
        <v>100</v>
      </c>
      <c r="O8" s="1">
        <f>160</f>
        <v>160</v>
      </c>
      <c r="P8" s="2">
        <f>(0.25)*(1000)</f>
        <v>250</v>
      </c>
      <c r="Q8" s="2">
        <f>(0.39)*(1000)</f>
        <v>390</v>
      </c>
      <c r="R8" s="2">
        <f>(0.62)*(1000)</f>
        <v>620</v>
      </c>
      <c r="S8" s="2">
        <f>(1)*(1000)</f>
        <v>1000</v>
      </c>
      <c r="T8" s="2">
        <f>(1.6)*(1000)</f>
        <v>1600</v>
      </c>
      <c r="U8" s="2">
        <f>(2.5)*(1000)</f>
        <v>2500</v>
      </c>
      <c r="V8" s="2">
        <f>(3.9)*(1000)</f>
        <v>3900</v>
      </c>
    </row>
    <row r="9" spans="1:22" ht="15.6">
      <c r="A9" s="3">
        <v>50</v>
      </c>
      <c r="B9" s="3">
        <v>80</v>
      </c>
      <c r="C9" s="1">
        <f>0.8</f>
        <v>0.8</v>
      </c>
      <c r="D9" s="1">
        <f>1.2</f>
        <v>1.2</v>
      </c>
      <c r="E9" s="1">
        <f>2</f>
        <v>2</v>
      </c>
      <c r="F9" s="1">
        <f>3</f>
        <v>3</v>
      </c>
      <c r="G9" s="1">
        <f>5</f>
        <v>5</v>
      </c>
      <c r="H9" s="1">
        <f>8</f>
        <v>8</v>
      </c>
      <c r="I9" s="1">
        <f>13</f>
        <v>13</v>
      </c>
      <c r="J9" s="1">
        <f>19</f>
        <v>19</v>
      </c>
      <c r="K9" s="1">
        <f>30</f>
        <v>30</v>
      </c>
      <c r="L9" s="1">
        <f>46</f>
        <v>46</v>
      </c>
      <c r="M9" s="1">
        <f>74</f>
        <v>74</v>
      </c>
      <c r="N9" s="1">
        <f>120</f>
        <v>120</v>
      </c>
      <c r="O9" s="1">
        <f>190</f>
        <v>190</v>
      </c>
      <c r="P9" s="2">
        <f>(0.3)*(1000)</f>
        <v>300</v>
      </c>
      <c r="Q9" s="2">
        <f>(0.46)*(1000)</f>
        <v>460</v>
      </c>
      <c r="R9" s="2">
        <f>(0.74)*(1000)</f>
        <v>740</v>
      </c>
      <c r="S9" s="2">
        <f>(1.2)*(1000)</f>
        <v>1200</v>
      </c>
      <c r="T9" s="2">
        <f>(1.9)*(1000)</f>
        <v>1900</v>
      </c>
      <c r="U9" s="2">
        <f>(3)*(1000)</f>
        <v>3000</v>
      </c>
      <c r="V9" s="2">
        <f>(4.6)*(1000)</f>
        <v>4600</v>
      </c>
    </row>
    <row r="10" spans="1:22" ht="15.6">
      <c r="A10" s="3">
        <v>80</v>
      </c>
      <c r="B10" s="3">
        <v>120</v>
      </c>
      <c r="C10" s="1">
        <f>1</f>
        <v>1</v>
      </c>
      <c r="D10" s="1">
        <f>1.5</f>
        <v>1.5</v>
      </c>
      <c r="E10" s="1">
        <f>2.5</f>
        <v>2.5</v>
      </c>
      <c r="F10" s="1">
        <f>4</f>
        <v>4</v>
      </c>
      <c r="G10" s="1">
        <f>6</f>
        <v>6</v>
      </c>
      <c r="H10" s="1">
        <f>10</f>
        <v>10</v>
      </c>
      <c r="I10" s="1">
        <f>15</f>
        <v>15</v>
      </c>
      <c r="J10" s="1">
        <f>22</f>
        <v>22</v>
      </c>
      <c r="K10" s="1">
        <f>35</f>
        <v>35</v>
      </c>
      <c r="L10" s="1">
        <f>54</f>
        <v>54</v>
      </c>
      <c r="M10" s="1">
        <f>87</f>
        <v>87</v>
      </c>
      <c r="N10" s="1">
        <f>140</f>
        <v>140</v>
      </c>
      <c r="O10" s="1">
        <f>220</f>
        <v>220</v>
      </c>
      <c r="P10" s="2">
        <f>(0.35)*(1000)</f>
        <v>350</v>
      </c>
      <c r="Q10" s="2">
        <f>(0.54)*(1000)</f>
        <v>540</v>
      </c>
      <c r="R10" s="2">
        <f>(0.87)*(1000)</f>
        <v>870</v>
      </c>
      <c r="S10" s="2">
        <f>(1.4)*(1000)</f>
        <v>1400</v>
      </c>
      <c r="T10" s="2">
        <f>(2.2)*(1000)</f>
        <v>2200</v>
      </c>
      <c r="U10" s="2">
        <f>(3.5)*(1000)</f>
        <v>3500</v>
      </c>
      <c r="V10" s="2">
        <f>(5.4)*(1000)</f>
        <v>5400</v>
      </c>
    </row>
    <row r="11" spans="1:22" ht="15.6">
      <c r="A11" s="3">
        <v>120</v>
      </c>
      <c r="B11" s="3">
        <v>180</v>
      </c>
      <c r="C11" s="1">
        <f>1.2</f>
        <v>1.2</v>
      </c>
      <c r="D11" s="1">
        <f>2</f>
        <v>2</v>
      </c>
      <c r="E11" s="1">
        <f>3.5</f>
        <v>3.5</v>
      </c>
      <c r="F11" s="1">
        <f>5</f>
        <v>5</v>
      </c>
      <c r="G11" s="1">
        <f>8</f>
        <v>8</v>
      </c>
      <c r="H11" s="1">
        <f>12</f>
        <v>12</v>
      </c>
      <c r="I11" s="1">
        <f>18</f>
        <v>18</v>
      </c>
      <c r="J11" s="1">
        <f>25</f>
        <v>25</v>
      </c>
      <c r="K11" s="1">
        <f>40</f>
        <v>40</v>
      </c>
      <c r="L11" s="1">
        <f>63</f>
        <v>63</v>
      </c>
      <c r="M11" s="1">
        <f>100</f>
        <v>100</v>
      </c>
      <c r="N11" s="1">
        <f>160</f>
        <v>160</v>
      </c>
      <c r="O11" s="1">
        <f>250</f>
        <v>250</v>
      </c>
      <c r="P11" s="2">
        <f>(0.4)*(1000)</f>
        <v>400</v>
      </c>
      <c r="Q11" s="2">
        <f>(0.63)*(1000)</f>
        <v>630</v>
      </c>
      <c r="R11" s="2">
        <f>(1)*(1000)</f>
        <v>1000</v>
      </c>
      <c r="S11" s="2">
        <f>(1.6)*(1000)</f>
        <v>1600</v>
      </c>
      <c r="T11" s="2">
        <f>(2.5)*(1000)</f>
        <v>2500</v>
      </c>
      <c r="U11" s="2">
        <f>(4)*(1000)</f>
        <v>4000</v>
      </c>
      <c r="V11" s="2">
        <f>(6.3)*(1000)</f>
        <v>6300</v>
      </c>
    </row>
    <row r="12" spans="1:22" ht="15.6">
      <c r="A12" s="3">
        <v>180</v>
      </c>
      <c r="B12" s="3">
        <v>250</v>
      </c>
      <c r="C12" s="1">
        <f>2</f>
        <v>2</v>
      </c>
      <c r="D12" s="1">
        <f>3</f>
        <v>3</v>
      </c>
      <c r="E12" s="1">
        <f>4.5</f>
        <v>4.5</v>
      </c>
      <c r="F12" s="1">
        <f>7</f>
        <v>7</v>
      </c>
      <c r="G12" s="1">
        <f>10</f>
        <v>10</v>
      </c>
      <c r="H12" s="1">
        <f>14</f>
        <v>14</v>
      </c>
      <c r="I12" s="1">
        <f>20</f>
        <v>20</v>
      </c>
      <c r="J12" s="1">
        <f>29</f>
        <v>29</v>
      </c>
      <c r="K12" s="1">
        <f>46</f>
        <v>46</v>
      </c>
      <c r="L12" s="1">
        <f>72</f>
        <v>72</v>
      </c>
      <c r="M12" s="1">
        <f>115</f>
        <v>115</v>
      </c>
      <c r="N12" s="1">
        <f>185</f>
        <v>185</v>
      </c>
      <c r="O12" s="1">
        <f>290</f>
        <v>290</v>
      </c>
      <c r="P12" s="2">
        <f>(0.46)*(1000)</f>
        <v>460</v>
      </c>
      <c r="Q12" s="2">
        <f>(0.72)*(1000)</f>
        <v>720</v>
      </c>
      <c r="R12" s="2">
        <f>(1.15)*(1000)</f>
        <v>1150</v>
      </c>
      <c r="S12" s="2">
        <f>(1.85)*(1000)</f>
        <v>1850</v>
      </c>
      <c r="T12" s="2">
        <f>(2.9)*(1000)</f>
        <v>2900</v>
      </c>
      <c r="U12" s="2">
        <f>(4.6)*(1000)</f>
        <v>4600</v>
      </c>
      <c r="V12" s="2">
        <f>(7.2)*(1000)</f>
        <v>7200</v>
      </c>
    </row>
    <row r="13" spans="1:22" ht="15.6">
      <c r="A13" s="3">
        <v>250</v>
      </c>
      <c r="B13" s="3">
        <v>315</v>
      </c>
      <c r="C13" s="1">
        <f>2.5</f>
        <v>2.5</v>
      </c>
      <c r="D13" s="1">
        <f>4</f>
        <v>4</v>
      </c>
      <c r="E13" s="1">
        <f>6</f>
        <v>6</v>
      </c>
      <c r="F13" s="1">
        <f>8</f>
        <v>8</v>
      </c>
      <c r="G13" s="1">
        <f>12</f>
        <v>12</v>
      </c>
      <c r="H13" s="1">
        <f>16</f>
        <v>16</v>
      </c>
      <c r="I13" s="1">
        <f>23</f>
        <v>23</v>
      </c>
      <c r="J13" s="1">
        <f>32</f>
        <v>32</v>
      </c>
      <c r="K13" s="1">
        <f>52</f>
        <v>52</v>
      </c>
      <c r="L13" s="1">
        <f>81</f>
        <v>81</v>
      </c>
      <c r="M13" s="1">
        <f>130</f>
        <v>130</v>
      </c>
      <c r="N13" s="1">
        <f>210</f>
        <v>210</v>
      </c>
      <c r="O13" s="1">
        <f>320</f>
        <v>320</v>
      </c>
      <c r="P13" s="2">
        <f>(0.52)*(1000)</f>
        <v>520</v>
      </c>
      <c r="Q13" s="2">
        <f>(0.81)*(1000)</f>
        <v>810</v>
      </c>
      <c r="R13" s="2">
        <f>(1.3)*(1000)</f>
        <v>1300</v>
      </c>
      <c r="S13" s="2">
        <f>(2.1)*(1000)</f>
        <v>2100</v>
      </c>
      <c r="T13" s="2">
        <f>(3.2)*(1000)</f>
        <v>3200</v>
      </c>
      <c r="U13" s="2">
        <f>(5.2)*(1000)</f>
        <v>5200</v>
      </c>
      <c r="V13" s="2">
        <f>(8.1)*(1000)</f>
        <v>8100</v>
      </c>
    </row>
    <row r="14" spans="1:22" ht="15.6">
      <c r="A14" s="3">
        <v>315</v>
      </c>
      <c r="B14" s="3">
        <v>400</v>
      </c>
      <c r="C14" s="1">
        <f>3</f>
        <v>3</v>
      </c>
      <c r="D14" s="1">
        <f>5</f>
        <v>5</v>
      </c>
      <c r="E14" s="1">
        <f>7</f>
        <v>7</v>
      </c>
      <c r="F14" s="1">
        <f>9</f>
        <v>9</v>
      </c>
      <c r="G14" s="1">
        <f>13</f>
        <v>13</v>
      </c>
      <c r="H14" s="1">
        <f>18</f>
        <v>18</v>
      </c>
      <c r="I14" s="1">
        <f>25</f>
        <v>25</v>
      </c>
      <c r="J14" s="1">
        <f>36</f>
        <v>36</v>
      </c>
      <c r="K14" s="1">
        <f>57</f>
        <v>57</v>
      </c>
      <c r="L14" s="1">
        <f>89</f>
        <v>89</v>
      </c>
      <c r="M14" s="1">
        <f>140</f>
        <v>140</v>
      </c>
      <c r="N14" s="1">
        <f>230</f>
        <v>230</v>
      </c>
      <c r="O14" s="1">
        <f>360</f>
        <v>360</v>
      </c>
      <c r="P14" s="2">
        <f>(0.57)*(1000)</f>
        <v>570</v>
      </c>
      <c r="Q14" s="2">
        <f>(0.89)*(1000)</f>
        <v>890</v>
      </c>
      <c r="R14" s="2">
        <f>(1.4)*(1000)</f>
        <v>1400</v>
      </c>
      <c r="S14" s="2">
        <f>(2.3)*(1000)</f>
        <v>2300</v>
      </c>
      <c r="T14" s="2">
        <f>(3.6)*(1000)</f>
        <v>3600</v>
      </c>
      <c r="U14" s="2">
        <f>(5.7)*(1000)</f>
        <v>5700</v>
      </c>
      <c r="V14" s="2">
        <f>(8.9)*(1000)</f>
        <v>8900</v>
      </c>
    </row>
    <row r="15" spans="1:22" ht="15.6">
      <c r="A15" s="3">
        <v>400</v>
      </c>
      <c r="B15" s="3">
        <v>500</v>
      </c>
      <c r="C15" s="1">
        <f>4</f>
        <v>4</v>
      </c>
      <c r="D15" s="1">
        <f>6</f>
        <v>6</v>
      </c>
      <c r="E15" s="1">
        <f>8</f>
        <v>8</v>
      </c>
      <c r="F15" s="1">
        <f>10</f>
        <v>10</v>
      </c>
      <c r="G15" s="1">
        <f>15</f>
        <v>15</v>
      </c>
      <c r="H15" s="1">
        <f>20</f>
        <v>20</v>
      </c>
      <c r="I15" s="1">
        <f>27</f>
        <v>27</v>
      </c>
      <c r="J15" s="1">
        <f>40</f>
        <v>40</v>
      </c>
      <c r="K15" s="1">
        <f>63</f>
        <v>63</v>
      </c>
      <c r="L15" s="1">
        <f>97</f>
        <v>97</v>
      </c>
      <c r="M15" s="1">
        <f>155</f>
        <v>155</v>
      </c>
      <c r="N15" s="1">
        <f>250</f>
        <v>250</v>
      </c>
      <c r="O15" s="1">
        <f>400</f>
        <v>400</v>
      </c>
      <c r="P15" s="2">
        <f>(0.63)*(1000)</f>
        <v>630</v>
      </c>
      <c r="Q15" s="2">
        <f>(0.97)*(1000)</f>
        <v>970</v>
      </c>
      <c r="R15" s="2">
        <f>(1.55)*(1000)</f>
        <v>1550</v>
      </c>
      <c r="S15" s="2">
        <f>(2.5)*(1000)</f>
        <v>2500</v>
      </c>
      <c r="T15" s="2">
        <f>(4)*(1000)</f>
        <v>4000</v>
      </c>
      <c r="U15" s="2">
        <f>(6.3)*(1000)</f>
        <v>6300</v>
      </c>
      <c r="V15" s="2">
        <f>(9.7)*(1000)</f>
        <v>9700</v>
      </c>
    </row>
    <row r="16" spans="1:22" ht="15.6">
      <c r="A16" s="3">
        <v>500</v>
      </c>
      <c r="B16" s="3">
        <v>630</v>
      </c>
      <c r="C16" s="1"/>
      <c r="D16" s="1"/>
      <c r="E16" s="1">
        <f>9</f>
        <v>9</v>
      </c>
      <c r="F16" s="1">
        <f>11</f>
        <v>11</v>
      </c>
      <c r="G16" s="1">
        <f>16</f>
        <v>16</v>
      </c>
      <c r="H16" s="1">
        <f>22</f>
        <v>22</v>
      </c>
      <c r="I16" s="1">
        <f>32</f>
        <v>32</v>
      </c>
      <c r="J16" s="1">
        <f>44</f>
        <v>44</v>
      </c>
      <c r="K16" s="1">
        <f>70</f>
        <v>70</v>
      </c>
      <c r="L16" s="1">
        <f>110</f>
        <v>110</v>
      </c>
      <c r="M16" s="1">
        <f>175</f>
        <v>175</v>
      </c>
      <c r="N16" s="1">
        <f>280</f>
        <v>280</v>
      </c>
      <c r="O16" s="1">
        <f>440</f>
        <v>440</v>
      </c>
      <c r="P16" s="2">
        <f>(0.7)*(1000)</f>
        <v>700</v>
      </c>
      <c r="Q16" s="2">
        <f>(1.1)*(1000)</f>
        <v>1100</v>
      </c>
      <c r="R16" s="2">
        <f>(1.75)*(1000)</f>
        <v>1750</v>
      </c>
      <c r="S16" s="2">
        <f>(2.8)*(1000)</f>
        <v>2800</v>
      </c>
      <c r="T16" s="2">
        <f>(4.4)*(1000)</f>
        <v>4400</v>
      </c>
      <c r="U16" s="2">
        <f>(7)*(1000)</f>
        <v>7000</v>
      </c>
      <c r="V16" s="2">
        <f>(11)*(1000)</f>
        <v>11000</v>
      </c>
    </row>
    <row r="17" spans="1:22" ht="15.6">
      <c r="A17" s="3">
        <v>630</v>
      </c>
      <c r="B17" s="3">
        <v>800</v>
      </c>
      <c r="C17" s="1"/>
      <c r="D17" s="1"/>
      <c r="E17" s="1">
        <f>10</f>
        <v>10</v>
      </c>
      <c r="F17" s="1">
        <f>13</f>
        <v>13</v>
      </c>
      <c r="G17" s="1">
        <f>18</f>
        <v>18</v>
      </c>
      <c r="H17" s="1">
        <f>25</f>
        <v>25</v>
      </c>
      <c r="I17" s="1">
        <f>36</f>
        <v>36</v>
      </c>
      <c r="J17" s="1">
        <f>50</f>
        <v>50</v>
      </c>
      <c r="K17" s="1">
        <f>80</f>
        <v>80</v>
      </c>
      <c r="L17" s="1">
        <f>125</f>
        <v>125</v>
      </c>
      <c r="M17" s="1">
        <f>200</f>
        <v>200</v>
      </c>
      <c r="N17" s="1">
        <f>320</f>
        <v>320</v>
      </c>
      <c r="O17" s="1">
        <f>500</f>
        <v>500</v>
      </c>
      <c r="P17" s="2">
        <f>(0.8)*(1000)</f>
        <v>800</v>
      </c>
      <c r="Q17" s="2">
        <f>(1.25)*(1000)</f>
        <v>1250</v>
      </c>
      <c r="R17" s="2">
        <f>(2)*(1000)</f>
        <v>2000</v>
      </c>
      <c r="S17" s="2">
        <f>(3.2)*(1000)</f>
        <v>3200</v>
      </c>
      <c r="T17" s="2">
        <f>(5)*(1000)</f>
        <v>5000</v>
      </c>
      <c r="U17" s="2">
        <f>(8)*(1000)</f>
        <v>8000</v>
      </c>
      <c r="V17" s="2">
        <f>(12.5)*(1000)</f>
        <v>12500</v>
      </c>
    </row>
    <row r="18" spans="1:22" ht="15.6">
      <c r="A18" s="3">
        <v>800</v>
      </c>
      <c r="B18" s="3">
        <v>1000</v>
      </c>
      <c r="C18" s="1"/>
      <c r="D18" s="1"/>
      <c r="E18" s="1">
        <f>11</f>
        <v>11</v>
      </c>
      <c r="F18" s="1">
        <f>15</f>
        <v>15</v>
      </c>
      <c r="G18" s="1">
        <f>21</f>
        <v>21</v>
      </c>
      <c r="H18" s="1">
        <f>28</f>
        <v>28</v>
      </c>
      <c r="I18" s="1">
        <f>40</f>
        <v>40</v>
      </c>
      <c r="J18" s="1">
        <f>56</f>
        <v>56</v>
      </c>
      <c r="K18" s="1">
        <f>90</f>
        <v>90</v>
      </c>
      <c r="L18" s="1">
        <f>140</f>
        <v>140</v>
      </c>
      <c r="M18" s="1">
        <f>230</f>
        <v>230</v>
      </c>
      <c r="N18" s="1">
        <f>360</f>
        <v>360</v>
      </c>
      <c r="O18" s="1">
        <f>560</f>
        <v>560</v>
      </c>
      <c r="P18" s="2">
        <f>(0.9)*(1000)</f>
        <v>900</v>
      </c>
      <c r="Q18" s="2">
        <f>(1.4)*(1000)</f>
        <v>1400</v>
      </c>
      <c r="R18" s="2">
        <f>(2.3)*(1000)</f>
        <v>2300</v>
      </c>
      <c r="S18" s="2">
        <f>(3.6)*(1000)</f>
        <v>3600</v>
      </c>
      <c r="T18" s="2">
        <f>(5.6)*(1000)</f>
        <v>5600</v>
      </c>
      <c r="U18" s="2">
        <f>(9)*(1000)</f>
        <v>9000</v>
      </c>
      <c r="V18" s="2">
        <f>(14)*(1000)</f>
        <v>14000</v>
      </c>
    </row>
    <row r="19" spans="1:22" ht="15.6">
      <c r="A19" s="3">
        <v>1000</v>
      </c>
      <c r="B19" s="3">
        <v>1250</v>
      </c>
      <c r="C19" s="1"/>
      <c r="D19" s="1"/>
      <c r="E19" s="1">
        <f>13</f>
        <v>13</v>
      </c>
      <c r="F19" s="1">
        <f>18</f>
        <v>18</v>
      </c>
      <c r="G19" s="1">
        <f>24</f>
        <v>24</v>
      </c>
      <c r="H19" s="1">
        <f>33</f>
        <v>33</v>
      </c>
      <c r="I19" s="1">
        <f>47</f>
        <v>47</v>
      </c>
      <c r="J19" s="1">
        <f>66</f>
        <v>66</v>
      </c>
      <c r="K19" s="1">
        <f>105</f>
        <v>105</v>
      </c>
      <c r="L19" s="1">
        <f>165</f>
        <v>165</v>
      </c>
      <c r="M19" s="1">
        <f>260</f>
        <v>260</v>
      </c>
      <c r="N19" s="1">
        <f>420</f>
        <v>420</v>
      </c>
      <c r="O19" s="1">
        <f>660</f>
        <v>660</v>
      </c>
      <c r="P19" s="2">
        <f>(1.05)*(1000)</f>
        <v>1050</v>
      </c>
      <c r="Q19" s="2">
        <f>(1.65)*(1000)</f>
        <v>1650</v>
      </c>
      <c r="R19" s="2">
        <f>(2.6)*(1000)</f>
        <v>2600</v>
      </c>
      <c r="S19" s="2">
        <f>(4.2)*(1000)</f>
        <v>4200</v>
      </c>
      <c r="T19" s="2">
        <f>(6.6)*(1000)</f>
        <v>6600</v>
      </c>
      <c r="U19" s="2">
        <f>(10.5)*(1000)</f>
        <v>10500</v>
      </c>
      <c r="V19" s="2">
        <f>(16.5)*(1000)</f>
        <v>16500</v>
      </c>
    </row>
    <row r="20" spans="1:22" ht="15.6">
      <c r="A20" s="3">
        <v>1250</v>
      </c>
      <c r="B20" s="3">
        <v>1600</v>
      </c>
      <c r="C20" s="1"/>
      <c r="D20" s="1"/>
      <c r="E20" s="1">
        <f>15</f>
        <v>15</v>
      </c>
      <c r="F20" s="1">
        <f>21</f>
        <v>21</v>
      </c>
      <c r="G20" s="1">
        <f>29</f>
        <v>29</v>
      </c>
      <c r="H20" s="1">
        <f>39</f>
        <v>39</v>
      </c>
      <c r="I20" s="1">
        <f>55</f>
        <v>55</v>
      </c>
      <c r="J20" s="1">
        <f>78</f>
        <v>78</v>
      </c>
      <c r="K20" s="1">
        <f>125</f>
        <v>125</v>
      </c>
      <c r="L20" s="1">
        <f>195</f>
        <v>195</v>
      </c>
      <c r="M20" s="1">
        <f>310</f>
        <v>310</v>
      </c>
      <c r="N20" s="1">
        <f>500</f>
        <v>500</v>
      </c>
      <c r="O20" s="1">
        <f>780</f>
        <v>780</v>
      </c>
      <c r="P20" s="2">
        <f>(1.25)*(1000)</f>
        <v>1250</v>
      </c>
      <c r="Q20" s="2">
        <f>(1.95)*(1000)</f>
        <v>1950</v>
      </c>
      <c r="R20" s="2">
        <f>(3.1)*(1000)</f>
        <v>3100</v>
      </c>
      <c r="S20" s="2">
        <f>(5)*(1000)</f>
        <v>5000</v>
      </c>
      <c r="T20" s="2">
        <f>(7.8)*(1000)</f>
        <v>7800</v>
      </c>
      <c r="U20" s="2">
        <f>(12.5)*(1000)</f>
        <v>12500</v>
      </c>
      <c r="V20" s="2">
        <f>(19.5)*(1000)</f>
        <v>19500</v>
      </c>
    </row>
    <row r="21" spans="1:22" ht="15.6">
      <c r="A21" s="3">
        <v>1600</v>
      </c>
      <c r="B21" s="3">
        <v>2000</v>
      </c>
      <c r="C21" s="1"/>
      <c r="D21" s="1"/>
      <c r="E21" s="1">
        <f>18</f>
        <v>18</v>
      </c>
      <c r="F21" s="1">
        <f>25</f>
        <v>25</v>
      </c>
      <c r="G21" s="1">
        <f>35</f>
        <v>35</v>
      </c>
      <c r="H21" s="1">
        <f>46</f>
        <v>46</v>
      </c>
      <c r="I21" s="1">
        <f>65</f>
        <v>65</v>
      </c>
      <c r="J21" s="1">
        <f>92</f>
        <v>92</v>
      </c>
      <c r="K21" s="1">
        <f>150</f>
        <v>150</v>
      </c>
      <c r="L21" s="1">
        <f>230</f>
        <v>230</v>
      </c>
      <c r="M21" s="1">
        <f>370</f>
        <v>370</v>
      </c>
      <c r="N21" s="1">
        <f>600</f>
        <v>600</v>
      </c>
      <c r="O21" s="1">
        <f>920</f>
        <v>920</v>
      </c>
      <c r="P21" s="2">
        <f>(1.5)*(1000)</f>
        <v>1500</v>
      </c>
      <c r="Q21" s="2">
        <f>(2.3)*(1000)</f>
        <v>2300</v>
      </c>
      <c r="R21" s="2">
        <f>(3.7)*(1000)</f>
        <v>3700</v>
      </c>
      <c r="S21" s="2">
        <f>(6)*(1000)</f>
        <v>6000</v>
      </c>
      <c r="T21" s="2">
        <f>(9.2)*(1000)</f>
        <v>9200</v>
      </c>
      <c r="U21" s="2">
        <f>(15)*(1000)</f>
        <v>15000</v>
      </c>
      <c r="V21" s="2">
        <f>(23)*(1000)</f>
        <v>23000</v>
      </c>
    </row>
    <row r="22" spans="1:22" ht="15.6">
      <c r="A22" s="3">
        <v>2000</v>
      </c>
      <c r="B22" s="3">
        <v>2500</v>
      </c>
      <c r="C22" s="1"/>
      <c r="D22" s="1"/>
      <c r="E22" s="1">
        <f>22</f>
        <v>22</v>
      </c>
      <c r="F22" s="1">
        <f>30</f>
        <v>30</v>
      </c>
      <c r="G22" s="1">
        <f>41</f>
        <v>41</v>
      </c>
      <c r="H22" s="1">
        <f>55</f>
        <v>55</v>
      </c>
      <c r="I22" s="1">
        <f>78</f>
        <v>78</v>
      </c>
      <c r="J22" s="1">
        <f>110</f>
        <v>110</v>
      </c>
      <c r="K22" s="1">
        <f>175</f>
        <v>175</v>
      </c>
      <c r="L22" s="1">
        <f>280</f>
        <v>280</v>
      </c>
      <c r="M22" s="1">
        <f>440</f>
        <v>440</v>
      </c>
      <c r="N22" s="1">
        <f>700</f>
        <v>700</v>
      </c>
      <c r="O22" s="1">
        <f>1100</f>
        <v>1100</v>
      </c>
      <c r="P22" s="2">
        <f>(1.75)*(1000)</f>
        <v>1750</v>
      </c>
      <c r="Q22" s="2">
        <f>(2.8)*(1000)</f>
        <v>2800</v>
      </c>
      <c r="R22" s="2">
        <f>(4.4)*(1000)</f>
        <v>4400</v>
      </c>
      <c r="S22" s="2">
        <f>(7)*(1000)</f>
        <v>7000</v>
      </c>
      <c r="T22" s="2">
        <f>(11)*(1000)</f>
        <v>11000</v>
      </c>
      <c r="U22" s="2">
        <f>(17.5)*(1000)</f>
        <v>17500</v>
      </c>
      <c r="V22" s="2">
        <f>(28)*(1000)</f>
        <v>28000</v>
      </c>
    </row>
    <row r="23" spans="1:22" ht="15.6">
      <c r="A23" s="3">
        <v>2500</v>
      </c>
      <c r="B23" s="3">
        <v>3150</v>
      </c>
      <c r="C23" s="1"/>
      <c r="D23" s="1"/>
      <c r="E23" s="1">
        <f>26</f>
        <v>26</v>
      </c>
      <c r="F23" s="1">
        <f>36</f>
        <v>36</v>
      </c>
      <c r="G23" s="1">
        <f>50</f>
        <v>50</v>
      </c>
      <c r="H23" s="1">
        <f>68</f>
        <v>68</v>
      </c>
      <c r="I23" s="1">
        <f>96</f>
        <v>96</v>
      </c>
      <c r="J23" s="1">
        <f>135</f>
        <v>135</v>
      </c>
      <c r="K23" s="1">
        <f>210</f>
        <v>210</v>
      </c>
      <c r="L23" s="1">
        <f>330</f>
        <v>330</v>
      </c>
      <c r="M23" s="1">
        <f>540</f>
        <v>540</v>
      </c>
      <c r="N23" s="1">
        <f>860</f>
        <v>860</v>
      </c>
      <c r="O23" s="1">
        <f>1350</f>
        <v>1350</v>
      </c>
      <c r="P23" s="2">
        <f>(2.1)*(1000)</f>
        <v>2100</v>
      </c>
      <c r="Q23" s="2">
        <f>(3.3)*(1000)</f>
        <v>3300</v>
      </c>
      <c r="R23" s="2">
        <f>5.4*(1000)</f>
        <v>5400</v>
      </c>
      <c r="S23" s="2">
        <f>(8.6)*(1000)</f>
        <v>8600</v>
      </c>
      <c r="T23" s="2">
        <f>(13.5)*(1000)</f>
        <v>13500</v>
      </c>
      <c r="U23" s="2">
        <f>(21)*(1000)</f>
        <v>21000</v>
      </c>
      <c r="V23" s="2">
        <f>(33)*(1000)</f>
        <v>33000</v>
      </c>
    </row>
  </sheetData>
  <mergeCells count="2">
    <mergeCell ref="A1:B1"/>
    <mergeCell ref="C2:V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C467-AECF-41D3-BC05-3ED947AE94E1}">
  <sheetPr codeName="工作表2"/>
  <dimension ref="A1:U45"/>
  <sheetViews>
    <sheetView topLeftCell="A21" workbookViewId="0">
      <selection activeCell="W5" sqref="W5"/>
    </sheetView>
  </sheetViews>
  <sheetFormatPr defaultRowHeight="15"/>
  <cols>
    <col min="2" max="2" width="12.25" customWidth="1"/>
    <col min="14" max="14" width="19.125" customWidth="1"/>
    <col min="17" max="17" width="9" customWidth="1"/>
    <col min="18" max="18" width="25.75" customWidth="1"/>
    <col min="19" max="19" width="17.75" customWidth="1"/>
    <col min="20" max="20" width="28.75" customWidth="1"/>
    <col min="21" max="21" width="16.25" customWidth="1"/>
  </cols>
  <sheetData>
    <row r="1" spans="1:21" ht="31.8" customHeight="1">
      <c r="A1" s="33" t="s">
        <v>323</v>
      </c>
      <c r="B1" s="34"/>
      <c r="C1" s="33" t="s">
        <v>326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3" t="s">
        <v>325</v>
      </c>
      <c r="P1" s="34"/>
      <c r="Q1" s="34"/>
      <c r="R1" s="34"/>
      <c r="S1" s="34"/>
      <c r="T1" s="34"/>
      <c r="U1" s="34"/>
    </row>
    <row r="2" spans="1:21" ht="32.4">
      <c r="A2" s="28" t="s">
        <v>306</v>
      </c>
      <c r="B2" s="30" t="s">
        <v>305</v>
      </c>
      <c r="C2" s="31" t="s">
        <v>580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6" t="s">
        <v>142</v>
      </c>
      <c r="P2" s="6" t="s">
        <v>146</v>
      </c>
      <c r="Q2" s="6" t="s">
        <v>148</v>
      </c>
      <c r="R2" s="6" t="s">
        <v>581</v>
      </c>
      <c r="S2" s="6" t="s">
        <v>582</v>
      </c>
      <c r="T2" s="6" t="s">
        <v>581</v>
      </c>
      <c r="U2" s="6" t="s">
        <v>582</v>
      </c>
    </row>
    <row r="3" spans="1:21" ht="15.6">
      <c r="A3" s="29"/>
      <c r="B3" s="29"/>
      <c r="C3" s="4" t="s">
        <v>197</v>
      </c>
      <c r="D3" s="4" t="s">
        <v>198</v>
      </c>
      <c r="E3" s="4" t="s">
        <v>70</v>
      </c>
      <c r="F3" s="4" t="s">
        <v>83</v>
      </c>
      <c r="G3" s="4" t="s">
        <v>89</v>
      </c>
      <c r="H3" s="4" t="s">
        <v>99</v>
      </c>
      <c r="I3" s="4" t="s">
        <v>107</v>
      </c>
      <c r="J3" s="4" t="s">
        <v>113</v>
      </c>
      <c r="K3" s="4" t="s">
        <v>124</v>
      </c>
      <c r="L3" s="4" t="s">
        <v>129</v>
      </c>
      <c r="M3" s="4" t="s">
        <v>139</v>
      </c>
      <c r="N3" s="4" t="s">
        <v>141</v>
      </c>
      <c r="O3" s="35" t="s">
        <v>143</v>
      </c>
      <c r="P3" s="36"/>
      <c r="Q3" s="36"/>
      <c r="R3" s="36" t="s">
        <v>588</v>
      </c>
      <c r="S3" s="36"/>
      <c r="T3" s="36" t="s">
        <v>589</v>
      </c>
      <c r="U3" s="36"/>
    </row>
    <row r="4" spans="1:21" ht="16.2" customHeight="1">
      <c r="A4" s="4" t="s">
        <v>0</v>
      </c>
      <c r="B4" s="4" t="s">
        <v>1</v>
      </c>
      <c r="C4" s="5" t="s">
        <v>31</v>
      </c>
      <c r="D4" s="5">
        <v>140</v>
      </c>
      <c r="E4" s="5" t="s">
        <v>71</v>
      </c>
      <c r="F4" s="5" t="s">
        <v>84</v>
      </c>
      <c r="G4" s="5" t="s">
        <v>90</v>
      </c>
      <c r="H4" s="5" t="s">
        <v>100</v>
      </c>
      <c r="I4" s="5" t="s">
        <v>108</v>
      </c>
      <c r="J4" s="5" t="s">
        <v>114</v>
      </c>
      <c r="K4" s="5" t="s">
        <v>125</v>
      </c>
      <c r="L4" s="5" t="s">
        <v>130</v>
      </c>
      <c r="M4" s="5" t="s">
        <v>140</v>
      </c>
      <c r="N4" s="40" t="s">
        <v>307</v>
      </c>
      <c r="O4" s="6" t="s">
        <v>130</v>
      </c>
      <c r="P4" s="6" t="s">
        <v>125</v>
      </c>
      <c r="Q4" s="6" t="s">
        <v>114</v>
      </c>
      <c r="R4" s="6" t="s">
        <v>140</v>
      </c>
      <c r="S4" s="6" t="s">
        <v>140</v>
      </c>
      <c r="T4" s="6" t="s">
        <v>158</v>
      </c>
      <c r="U4" s="6" t="s">
        <v>158</v>
      </c>
    </row>
    <row r="5" spans="1:21" ht="92.4">
      <c r="A5" s="4" t="s">
        <v>1</v>
      </c>
      <c r="B5" s="4" t="s">
        <v>2</v>
      </c>
      <c r="C5" s="5" t="s">
        <v>31</v>
      </c>
      <c r="D5" s="5" t="s">
        <v>53</v>
      </c>
      <c r="E5" s="5" t="s">
        <v>72</v>
      </c>
      <c r="F5" s="5" t="s">
        <v>85</v>
      </c>
      <c r="G5" s="5" t="s">
        <v>91</v>
      </c>
      <c r="H5" s="5" t="s">
        <v>90</v>
      </c>
      <c r="I5" s="5" t="s">
        <v>100</v>
      </c>
      <c r="J5" s="5" t="s">
        <v>108</v>
      </c>
      <c r="K5" s="5" t="s">
        <v>114</v>
      </c>
      <c r="L5" s="5" t="s">
        <v>125</v>
      </c>
      <c r="M5" s="5" t="s">
        <v>140</v>
      </c>
      <c r="N5" s="41"/>
      <c r="O5" s="6" t="s">
        <v>131</v>
      </c>
      <c r="P5" s="6" t="s">
        <v>114</v>
      </c>
      <c r="Q5" s="6" t="s">
        <v>108</v>
      </c>
      <c r="R5" s="6" t="s">
        <v>153</v>
      </c>
      <c r="S5" s="6"/>
      <c r="T5" s="6" t="s">
        <v>347</v>
      </c>
      <c r="U5" s="6" t="s">
        <v>167</v>
      </c>
    </row>
    <row r="6" spans="1:21" ht="92.4">
      <c r="A6" s="4" t="s">
        <v>2</v>
      </c>
      <c r="B6" s="4" t="s">
        <v>3</v>
      </c>
      <c r="C6" s="5" t="s">
        <v>32</v>
      </c>
      <c r="D6" s="5" t="s">
        <v>54</v>
      </c>
      <c r="E6" s="5" t="s">
        <v>73</v>
      </c>
      <c r="F6" s="5" t="s">
        <v>86</v>
      </c>
      <c r="G6" s="5" t="s">
        <v>92</v>
      </c>
      <c r="H6" s="5" t="s">
        <v>101</v>
      </c>
      <c r="I6" s="5" t="s">
        <v>109</v>
      </c>
      <c r="J6" s="5" t="s">
        <v>115</v>
      </c>
      <c r="K6" s="5" t="s">
        <v>126</v>
      </c>
      <c r="L6" s="5" t="s">
        <v>131</v>
      </c>
      <c r="M6" s="5" t="s">
        <v>140</v>
      </c>
      <c r="N6" s="41"/>
      <c r="O6" s="6" t="s">
        <v>131</v>
      </c>
      <c r="P6" s="6" t="s">
        <v>126</v>
      </c>
      <c r="Q6" s="6" t="s">
        <v>127</v>
      </c>
      <c r="R6" s="6" t="s">
        <v>153</v>
      </c>
      <c r="S6" s="6"/>
      <c r="T6" s="6" t="s">
        <v>356</v>
      </c>
      <c r="U6" s="6" t="s">
        <v>168</v>
      </c>
    </row>
    <row r="7" spans="1:21" ht="15.6">
      <c r="A7" s="4" t="s">
        <v>3</v>
      </c>
      <c r="B7" s="4" t="s">
        <v>4</v>
      </c>
      <c r="C7" s="32" t="s">
        <v>33</v>
      </c>
      <c r="D7" s="32" t="s">
        <v>54</v>
      </c>
      <c r="E7" s="32" t="s">
        <v>74</v>
      </c>
      <c r="F7" s="32" t="s">
        <v>72</v>
      </c>
      <c r="G7" s="32" t="s">
        <v>93</v>
      </c>
      <c r="H7" s="32" t="s">
        <v>102</v>
      </c>
      <c r="I7" s="32" t="s">
        <v>110</v>
      </c>
      <c r="J7" s="32" t="s">
        <v>116</v>
      </c>
      <c r="K7" s="32" t="s">
        <v>108</v>
      </c>
      <c r="L7" s="32" t="s">
        <v>114</v>
      </c>
      <c r="M7" s="32" t="s">
        <v>140</v>
      </c>
      <c r="N7" s="41"/>
      <c r="O7" s="37" t="s">
        <v>114</v>
      </c>
      <c r="P7" s="37" t="s">
        <v>108</v>
      </c>
      <c r="Q7" s="37" t="s">
        <v>128</v>
      </c>
      <c r="R7" s="37" t="s">
        <v>153</v>
      </c>
      <c r="S7" s="37"/>
      <c r="T7" s="37" t="s">
        <v>159</v>
      </c>
      <c r="U7" s="37" t="s">
        <v>169</v>
      </c>
    </row>
    <row r="8" spans="1:21" ht="15.6">
      <c r="A8" s="4" t="s">
        <v>4</v>
      </c>
      <c r="B8" s="4" t="s">
        <v>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41"/>
      <c r="O8" s="37"/>
      <c r="P8" s="37"/>
      <c r="Q8" s="37"/>
      <c r="R8" s="37"/>
      <c r="S8" s="37"/>
      <c r="T8" s="37"/>
      <c r="U8" s="37"/>
    </row>
    <row r="9" spans="1:21" ht="15.6" customHeight="1">
      <c r="A9" s="4" t="s">
        <v>5</v>
      </c>
      <c r="B9" s="4" t="s">
        <v>6</v>
      </c>
      <c r="C9" s="32" t="s">
        <v>34</v>
      </c>
      <c r="D9" s="32" t="s">
        <v>55</v>
      </c>
      <c r="E9" s="32" t="s">
        <v>75</v>
      </c>
      <c r="F9" s="32" t="s">
        <v>87</v>
      </c>
      <c r="G9" s="32" t="s">
        <v>94</v>
      </c>
      <c r="H9" s="32" t="s">
        <v>92</v>
      </c>
      <c r="I9" s="32" t="s">
        <v>111</v>
      </c>
      <c r="J9" s="32" t="s">
        <v>90</v>
      </c>
      <c r="K9" s="32" t="s">
        <v>127</v>
      </c>
      <c r="L9" s="32" t="s">
        <v>132</v>
      </c>
      <c r="M9" s="32" t="s">
        <v>140</v>
      </c>
      <c r="N9" s="41"/>
      <c r="O9" s="37" t="s">
        <v>126</v>
      </c>
      <c r="P9" s="37" t="s">
        <v>127</v>
      </c>
      <c r="Q9" s="37" t="s">
        <v>90</v>
      </c>
      <c r="R9" s="37" t="s">
        <v>154</v>
      </c>
      <c r="S9" s="37"/>
      <c r="T9" s="38" t="s">
        <v>350</v>
      </c>
      <c r="U9" s="37" t="s">
        <v>170</v>
      </c>
    </row>
    <row r="10" spans="1:21" ht="48.6" customHeight="1">
      <c r="A10" s="4" t="s">
        <v>6</v>
      </c>
      <c r="B10" s="4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41"/>
      <c r="O10" s="37"/>
      <c r="P10" s="37"/>
      <c r="Q10" s="37"/>
      <c r="R10" s="37"/>
      <c r="S10" s="37"/>
      <c r="T10" s="39"/>
      <c r="U10" s="37"/>
    </row>
    <row r="11" spans="1:21" ht="15.6">
      <c r="A11" s="4" t="s">
        <v>7</v>
      </c>
      <c r="B11" s="4" t="s">
        <v>8</v>
      </c>
      <c r="C11" s="5" t="s">
        <v>35</v>
      </c>
      <c r="D11" s="5" t="s">
        <v>56</v>
      </c>
      <c r="E11" s="5" t="s">
        <v>76</v>
      </c>
      <c r="F11" s="32" t="s">
        <v>88</v>
      </c>
      <c r="G11" s="32" t="s">
        <v>73</v>
      </c>
      <c r="H11" s="32" t="s">
        <v>93</v>
      </c>
      <c r="I11" s="32" t="s">
        <v>112</v>
      </c>
      <c r="J11" s="32" t="s">
        <v>101</v>
      </c>
      <c r="K11" s="32" t="s">
        <v>128</v>
      </c>
      <c r="L11" s="32" t="s">
        <v>133</v>
      </c>
      <c r="M11" s="32" t="s">
        <v>140</v>
      </c>
      <c r="N11" s="41"/>
      <c r="O11" s="37" t="s">
        <v>108</v>
      </c>
      <c r="P11" s="37" t="s">
        <v>100</v>
      </c>
      <c r="Q11" s="37" t="s">
        <v>136</v>
      </c>
      <c r="R11" s="37" t="s">
        <v>154</v>
      </c>
      <c r="S11" s="37"/>
      <c r="T11" s="37" t="s">
        <v>160</v>
      </c>
      <c r="U11" s="37" t="s">
        <v>171</v>
      </c>
    </row>
    <row r="12" spans="1:21" ht="15.6">
      <c r="A12" s="4" t="s">
        <v>8</v>
      </c>
      <c r="B12" s="4" t="s">
        <v>9</v>
      </c>
      <c r="C12" s="5" t="s">
        <v>36</v>
      </c>
      <c r="D12" s="5" t="s">
        <v>57</v>
      </c>
      <c r="E12" s="5" t="s">
        <v>77</v>
      </c>
      <c r="F12" s="32"/>
      <c r="G12" s="32"/>
      <c r="H12" s="32"/>
      <c r="I12" s="32"/>
      <c r="J12" s="32"/>
      <c r="K12" s="32"/>
      <c r="L12" s="32"/>
      <c r="M12" s="32"/>
      <c r="N12" s="41"/>
      <c r="O12" s="37"/>
      <c r="P12" s="37"/>
      <c r="Q12" s="37"/>
      <c r="R12" s="37"/>
      <c r="S12" s="37"/>
      <c r="T12" s="37"/>
      <c r="U12" s="37"/>
    </row>
    <row r="13" spans="1:21" ht="15.6">
      <c r="A13" s="4" t="s">
        <v>9</v>
      </c>
      <c r="B13" s="4" t="s">
        <v>10</v>
      </c>
      <c r="C13" s="5" t="s">
        <v>37</v>
      </c>
      <c r="D13" s="5" t="s">
        <v>58</v>
      </c>
      <c r="E13" s="5" t="s">
        <v>53</v>
      </c>
      <c r="F13" s="32"/>
      <c r="G13" s="32" t="s">
        <v>88</v>
      </c>
      <c r="H13" s="32" t="s">
        <v>71</v>
      </c>
      <c r="I13" s="32"/>
      <c r="J13" s="32" t="s">
        <v>91</v>
      </c>
      <c r="K13" s="32"/>
      <c r="L13" s="32" t="s">
        <v>108</v>
      </c>
      <c r="M13" s="32" t="s">
        <v>140</v>
      </c>
      <c r="N13" s="41"/>
      <c r="O13" s="37" t="s">
        <v>115</v>
      </c>
      <c r="P13" s="37" t="s">
        <v>109</v>
      </c>
      <c r="Q13" s="37" t="s">
        <v>111</v>
      </c>
      <c r="R13" s="37" t="s">
        <v>154</v>
      </c>
      <c r="S13" s="37"/>
      <c r="T13" s="37" t="s">
        <v>161</v>
      </c>
      <c r="U13" s="37" t="s">
        <v>172</v>
      </c>
    </row>
    <row r="14" spans="1:21" ht="15.6">
      <c r="A14" s="4" t="s">
        <v>10</v>
      </c>
      <c r="B14" s="4" t="s">
        <v>11</v>
      </c>
      <c r="C14" s="5" t="s">
        <v>38</v>
      </c>
      <c r="D14" s="5" t="s">
        <v>59</v>
      </c>
      <c r="E14" s="5" t="s">
        <v>54</v>
      </c>
      <c r="F14" s="32"/>
      <c r="G14" s="32"/>
      <c r="H14" s="32"/>
      <c r="I14" s="32"/>
      <c r="J14" s="32"/>
      <c r="K14" s="32"/>
      <c r="L14" s="32"/>
      <c r="M14" s="32"/>
      <c r="N14" s="41"/>
      <c r="O14" s="37"/>
      <c r="P14" s="37"/>
      <c r="Q14" s="37"/>
      <c r="R14" s="37"/>
      <c r="S14" s="37"/>
      <c r="T14" s="37"/>
      <c r="U14" s="37"/>
    </row>
    <row r="15" spans="1:21" ht="15.6">
      <c r="A15" s="4" t="s">
        <v>11</v>
      </c>
      <c r="B15" s="4" t="s">
        <v>12</v>
      </c>
      <c r="C15" s="5" t="s">
        <v>39</v>
      </c>
      <c r="D15" s="5" t="s">
        <v>60</v>
      </c>
      <c r="E15" s="5" t="s">
        <v>56</v>
      </c>
      <c r="F15" s="32"/>
      <c r="G15" s="32" t="s">
        <v>76</v>
      </c>
      <c r="H15" s="32" t="s">
        <v>103</v>
      </c>
      <c r="I15" s="32"/>
      <c r="J15" s="32" t="s">
        <v>117</v>
      </c>
      <c r="K15" s="32"/>
      <c r="L15" s="32" t="s">
        <v>127</v>
      </c>
      <c r="M15" s="32" t="s">
        <v>140</v>
      </c>
      <c r="N15" s="41"/>
      <c r="O15" s="37" t="s">
        <v>116</v>
      </c>
      <c r="P15" s="37" t="s">
        <v>135</v>
      </c>
      <c r="Q15" s="37" t="s">
        <v>84</v>
      </c>
      <c r="R15" s="37" t="s">
        <v>155</v>
      </c>
      <c r="S15" s="37"/>
      <c r="T15" s="37" t="s">
        <v>162</v>
      </c>
      <c r="U15" s="37" t="s">
        <v>173</v>
      </c>
    </row>
    <row r="16" spans="1:21" ht="15.6">
      <c r="A16" s="4" t="s">
        <v>12</v>
      </c>
      <c r="B16" s="4" t="s">
        <v>13</v>
      </c>
      <c r="C16" s="5" t="s">
        <v>40</v>
      </c>
      <c r="D16" s="5" t="s">
        <v>61</v>
      </c>
      <c r="E16" s="5" t="s">
        <v>57</v>
      </c>
      <c r="F16" s="32"/>
      <c r="G16" s="32"/>
      <c r="H16" s="32"/>
      <c r="I16" s="32"/>
      <c r="J16" s="32"/>
      <c r="K16" s="32"/>
      <c r="L16" s="32"/>
      <c r="M16" s="32"/>
      <c r="N16" s="41"/>
      <c r="O16" s="37"/>
      <c r="P16" s="37"/>
      <c r="Q16" s="37"/>
      <c r="R16" s="37"/>
      <c r="S16" s="37"/>
      <c r="T16" s="37"/>
      <c r="U16" s="37"/>
    </row>
    <row r="17" spans="1:21" ht="15.6">
      <c r="A17" s="4" t="s">
        <v>13</v>
      </c>
      <c r="B17" s="4" t="s">
        <v>14</v>
      </c>
      <c r="C17" s="5" t="s">
        <v>41</v>
      </c>
      <c r="D17" s="5" t="s">
        <v>62</v>
      </c>
      <c r="E17" s="5" t="s">
        <v>59</v>
      </c>
      <c r="F17" s="5"/>
      <c r="G17" s="32" t="s">
        <v>95</v>
      </c>
      <c r="H17" s="32" t="s">
        <v>87</v>
      </c>
      <c r="I17" s="32"/>
      <c r="J17" s="32" t="s">
        <v>118</v>
      </c>
      <c r="K17" s="32"/>
      <c r="L17" s="32" t="s">
        <v>100</v>
      </c>
      <c r="M17" s="32" t="s">
        <v>140</v>
      </c>
      <c r="N17" s="41"/>
      <c r="O17" s="37" t="s">
        <v>109</v>
      </c>
      <c r="P17" s="37" t="s">
        <v>137</v>
      </c>
      <c r="Q17" s="37" t="s">
        <v>149</v>
      </c>
      <c r="R17" s="37" t="s">
        <v>155</v>
      </c>
      <c r="S17" s="37"/>
      <c r="T17" s="37" t="s">
        <v>346</v>
      </c>
      <c r="U17" s="37" t="s">
        <v>174</v>
      </c>
    </row>
    <row r="18" spans="1:21" ht="15.6">
      <c r="A18" s="4" t="s">
        <v>14</v>
      </c>
      <c r="B18" s="4" t="s">
        <v>15</v>
      </c>
      <c r="C18" s="5" t="s">
        <v>42</v>
      </c>
      <c r="D18" s="5" t="s">
        <v>32</v>
      </c>
      <c r="E18" s="5" t="s">
        <v>78</v>
      </c>
      <c r="F18" s="5"/>
      <c r="G18" s="32"/>
      <c r="H18" s="32"/>
      <c r="I18" s="32"/>
      <c r="J18" s="32"/>
      <c r="K18" s="32"/>
      <c r="L18" s="32"/>
      <c r="M18" s="32"/>
      <c r="N18" s="41"/>
      <c r="O18" s="37"/>
      <c r="P18" s="37"/>
      <c r="Q18" s="37"/>
      <c r="R18" s="37"/>
      <c r="S18" s="37"/>
      <c r="T18" s="37"/>
      <c r="U18" s="37"/>
    </row>
    <row r="19" spans="1:21" ht="15.6">
      <c r="A19" s="4" t="s">
        <v>15</v>
      </c>
      <c r="B19" s="4" t="s">
        <v>16</v>
      </c>
      <c r="C19" s="5" t="s">
        <v>43</v>
      </c>
      <c r="D19" s="5" t="s">
        <v>35</v>
      </c>
      <c r="E19" s="5" t="s">
        <v>79</v>
      </c>
      <c r="F19" s="5"/>
      <c r="G19" s="32"/>
      <c r="H19" s="32"/>
      <c r="I19" s="32"/>
      <c r="J19" s="32"/>
      <c r="K19" s="32"/>
      <c r="L19" s="32"/>
      <c r="M19" s="32"/>
      <c r="N19" s="41"/>
      <c r="O19" s="37"/>
      <c r="P19" s="37"/>
      <c r="Q19" s="37"/>
      <c r="R19" s="37"/>
      <c r="S19" s="37"/>
      <c r="T19" s="37"/>
      <c r="U19" s="37"/>
    </row>
    <row r="20" spans="1:21" ht="15.6">
      <c r="A20" s="4" t="s">
        <v>16</v>
      </c>
      <c r="B20" s="4" t="s">
        <v>17</v>
      </c>
      <c r="C20" s="5" t="s">
        <v>44</v>
      </c>
      <c r="D20" s="5" t="s">
        <v>37</v>
      </c>
      <c r="E20" s="5" t="s">
        <v>61</v>
      </c>
      <c r="F20" s="5"/>
      <c r="G20" s="32" t="s">
        <v>56</v>
      </c>
      <c r="H20" s="32" t="s">
        <v>88</v>
      </c>
      <c r="I20" s="32"/>
      <c r="J20" s="32" t="s">
        <v>93</v>
      </c>
      <c r="K20" s="32"/>
      <c r="L20" s="32" t="s">
        <v>128</v>
      </c>
      <c r="M20" s="32" t="s">
        <v>140</v>
      </c>
      <c r="N20" s="41"/>
      <c r="O20" s="37" t="s">
        <v>135</v>
      </c>
      <c r="P20" s="37" t="s">
        <v>91</v>
      </c>
      <c r="Q20" s="37" t="s">
        <v>150</v>
      </c>
      <c r="R20" s="37" t="s">
        <v>156</v>
      </c>
      <c r="S20" s="37"/>
      <c r="T20" s="37" t="s">
        <v>163</v>
      </c>
      <c r="U20" s="37" t="s">
        <v>175</v>
      </c>
    </row>
    <row r="21" spans="1:21" ht="15.6">
      <c r="A21" s="4" t="s">
        <v>17</v>
      </c>
      <c r="B21" s="4" t="s">
        <v>18</v>
      </c>
      <c r="C21" s="5" t="s">
        <v>45</v>
      </c>
      <c r="D21" s="5" t="s">
        <v>39</v>
      </c>
      <c r="E21" s="5" t="s">
        <v>62</v>
      </c>
      <c r="F21" s="5"/>
      <c r="G21" s="32"/>
      <c r="H21" s="32"/>
      <c r="I21" s="32"/>
      <c r="J21" s="32"/>
      <c r="K21" s="32"/>
      <c r="L21" s="32"/>
      <c r="M21" s="32"/>
      <c r="N21" s="41"/>
      <c r="O21" s="37"/>
      <c r="P21" s="37"/>
      <c r="Q21" s="37"/>
      <c r="R21" s="37"/>
      <c r="S21" s="37"/>
      <c r="T21" s="37"/>
      <c r="U21" s="37"/>
    </row>
    <row r="22" spans="1:21" ht="15.6">
      <c r="A22" s="4" t="s">
        <v>18</v>
      </c>
      <c r="B22" s="4" t="s">
        <v>19</v>
      </c>
      <c r="C22" s="5" t="s">
        <v>46</v>
      </c>
      <c r="D22" s="5" t="s">
        <v>63</v>
      </c>
      <c r="E22" s="5" t="s">
        <v>32</v>
      </c>
      <c r="F22" s="5"/>
      <c r="G22" s="32"/>
      <c r="H22" s="32"/>
      <c r="I22" s="32"/>
      <c r="J22" s="32"/>
      <c r="K22" s="32"/>
      <c r="L22" s="32"/>
      <c r="M22" s="32"/>
      <c r="N22" s="41"/>
      <c r="O22" s="37"/>
      <c r="P22" s="37"/>
      <c r="Q22" s="37"/>
      <c r="R22" s="37"/>
      <c r="S22" s="37"/>
      <c r="T22" s="37"/>
      <c r="U22" s="37"/>
    </row>
    <row r="23" spans="1:21" ht="15.6">
      <c r="A23" s="4" t="s">
        <v>19</v>
      </c>
      <c r="B23" s="4" t="s">
        <v>20</v>
      </c>
      <c r="C23" s="5" t="s">
        <v>47</v>
      </c>
      <c r="D23" s="5" t="s">
        <v>64</v>
      </c>
      <c r="E23" s="5" t="s">
        <v>34</v>
      </c>
      <c r="F23" s="32"/>
      <c r="G23" s="32" t="s">
        <v>58</v>
      </c>
      <c r="H23" s="32" t="s">
        <v>75</v>
      </c>
      <c r="I23" s="32"/>
      <c r="J23" s="32" t="s">
        <v>86</v>
      </c>
      <c r="K23" s="32"/>
      <c r="L23" s="32" t="s">
        <v>134</v>
      </c>
      <c r="M23" s="32" t="s">
        <v>140</v>
      </c>
      <c r="N23" s="41"/>
      <c r="O23" s="37" t="s">
        <v>101</v>
      </c>
      <c r="P23" s="37" t="s">
        <v>117</v>
      </c>
      <c r="Q23" s="37" t="s">
        <v>151</v>
      </c>
      <c r="R23" s="37" t="s">
        <v>156</v>
      </c>
      <c r="S23" s="37"/>
      <c r="T23" s="37" t="s">
        <v>164</v>
      </c>
      <c r="U23" s="37" t="s">
        <v>176</v>
      </c>
    </row>
    <row r="24" spans="1:21" ht="15.6">
      <c r="A24" s="4" t="s">
        <v>20</v>
      </c>
      <c r="B24" s="4" t="s">
        <v>21</v>
      </c>
      <c r="C24" s="5" t="s">
        <v>48</v>
      </c>
      <c r="D24" s="5" t="s">
        <v>65</v>
      </c>
      <c r="E24" s="5" t="s">
        <v>80</v>
      </c>
      <c r="F24" s="32"/>
      <c r="G24" s="32"/>
      <c r="H24" s="32"/>
      <c r="I24" s="32"/>
      <c r="J24" s="32"/>
      <c r="K24" s="32"/>
      <c r="L24" s="32"/>
      <c r="M24" s="32"/>
      <c r="N24" s="41"/>
      <c r="O24" s="37"/>
      <c r="P24" s="37"/>
      <c r="Q24" s="37"/>
      <c r="R24" s="37"/>
      <c r="S24" s="37"/>
      <c r="T24" s="37"/>
      <c r="U24" s="37"/>
    </row>
    <row r="25" spans="1:21" ht="15.6">
      <c r="A25" s="4" t="s">
        <v>21</v>
      </c>
      <c r="B25" s="4" t="s">
        <v>22</v>
      </c>
      <c r="C25" s="5" t="s">
        <v>49</v>
      </c>
      <c r="D25" s="5" t="s">
        <v>66</v>
      </c>
      <c r="E25" s="5" t="s">
        <v>38</v>
      </c>
      <c r="F25" s="32"/>
      <c r="G25" s="32" t="s">
        <v>78</v>
      </c>
      <c r="H25" s="32" t="s">
        <v>104</v>
      </c>
      <c r="I25" s="32"/>
      <c r="J25" s="32" t="s">
        <v>119</v>
      </c>
      <c r="K25" s="32"/>
      <c r="L25" s="32" t="s">
        <v>109</v>
      </c>
      <c r="M25" s="32" t="s">
        <v>140</v>
      </c>
      <c r="N25" s="41"/>
      <c r="O25" s="37" t="s">
        <v>144</v>
      </c>
      <c r="P25" s="37" t="s">
        <v>147</v>
      </c>
      <c r="Q25" s="37" t="s">
        <v>71</v>
      </c>
      <c r="R25" s="37" t="s">
        <v>156</v>
      </c>
      <c r="S25" s="37"/>
      <c r="T25" s="37" t="s">
        <v>165</v>
      </c>
      <c r="U25" s="37" t="s">
        <v>177</v>
      </c>
    </row>
    <row r="26" spans="1:21" ht="15.6">
      <c r="A26" s="4" t="s">
        <v>22</v>
      </c>
      <c r="B26" s="4" t="s">
        <v>23</v>
      </c>
      <c r="C26" s="5" t="s">
        <v>50</v>
      </c>
      <c r="D26" s="5" t="s">
        <v>67</v>
      </c>
      <c r="E26" s="5" t="s">
        <v>81</v>
      </c>
      <c r="F26" s="32"/>
      <c r="G26" s="32"/>
      <c r="H26" s="32"/>
      <c r="I26" s="32"/>
      <c r="J26" s="32"/>
      <c r="K26" s="32"/>
      <c r="L26" s="32"/>
      <c r="M26" s="32"/>
      <c r="N26" s="41"/>
      <c r="O26" s="37"/>
      <c r="P26" s="37"/>
      <c r="Q26" s="37"/>
      <c r="R26" s="37"/>
      <c r="S26" s="37"/>
      <c r="T26" s="37"/>
      <c r="U26" s="37"/>
    </row>
    <row r="27" spans="1:21" ht="15.6">
      <c r="A27" s="4" t="s">
        <v>23</v>
      </c>
      <c r="B27" s="4" t="s">
        <v>24</v>
      </c>
      <c r="C27" s="5" t="s">
        <v>51</v>
      </c>
      <c r="D27" s="5" t="s">
        <v>68</v>
      </c>
      <c r="E27" s="5" t="s">
        <v>82</v>
      </c>
      <c r="F27" s="32"/>
      <c r="G27" s="32" t="s">
        <v>79</v>
      </c>
      <c r="H27" s="32" t="s">
        <v>105</v>
      </c>
      <c r="I27" s="32"/>
      <c r="J27" s="32" t="s">
        <v>120</v>
      </c>
      <c r="K27" s="32"/>
      <c r="L27" s="32" t="s">
        <v>90</v>
      </c>
      <c r="M27" s="32" t="s">
        <v>140</v>
      </c>
      <c r="N27" s="41"/>
      <c r="O27" s="37" t="s">
        <v>145</v>
      </c>
      <c r="P27" s="37" t="s">
        <v>118</v>
      </c>
      <c r="Q27" s="37" t="s">
        <v>152</v>
      </c>
      <c r="R27" s="37" t="s">
        <v>157</v>
      </c>
      <c r="S27" s="37"/>
      <c r="T27" s="37" t="s">
        <v>166</v>
      </c>
      <c r="U27" s="37" t="s">
        <v>178</v>
      </c>
    </row>
    <row r="28" spans="1:21" ht="15.6">
      <c r="A28" s="4" t="s">
        <v>24</v>
      </c>
      <c r="B28" s="4" t="s">
        <v>25</v>
      </c>
      <c r="C28" s="5" t="s">
        <v>52</v>
      </c>
      <c r="D28" s="5" t="s">
        <v>69</v>
      </c>
      <c r="E28" s="5" t="s">
        <v>64</v>
      </c>
      <c r="F28" s="32"/>
      <c r="G28" s="32"/>
      <c r="H28" s="32"/>
      <c r="I28" s="32"/>
      <c r="J28" s="32"/>
      <c r="K28" s="32"/>
      <c r="L28" s="32"/>
      <c r="M28" s="32"/>
      <c r="N28" s="41"/>
      <c r="O28" s="37"/>
      <c r="P28" s="37"/>
      <c r="Q28" s="37"/>
      <c r="R28" s="37"/>
      <c r="S28" s="37"/>
      <c r="T28" s="37"/>
      <c r="U28" s="37"/>
    </row>
    <row r="29" spans="1:21" ht="15.6">
      <c r="A29" s="4" t="s">
        <v>25</v>
      </c>
      <c r="B29" s="4" t="s">
        <v>26</v>
      </c>
      <c r="C29" s="32"/>
      <c r="D29" s="32"/>
      <c r="E29" s="32"/>
      <c r="F29" s="32"/>
      <c r="G29" s="32" t="s">
        <v>62</v>
      </c>
      <c r="H29" s="32" t="s">
        <v>95</v>
      </c>
      <c r="I29" s="32"/>
      <c r="J29" s="32" t="s">
        <v>121</v>
      </c>
      <c r="K29" s="32"/>
      <c r="L29" s="32" t="s">
        <v>135</v>
      </c>
      <c r="M29" s="32" t="s">
        <v>140</v>
      </c>
      <c r="N29" s="41"/>
      <c r="O29" s="37"/>
      <c r="P29" s="37"/>
      <c r="Q29" s="37"/>
      <c r="R29" s="37" t="s">
        <v>140</v>
      </c>
      <c r="S29" s="37"/>
      <c r="T29" s="37">
        <v>-26</v>
      </c>
      <c r="U29" s="37"/>
    </row>
    <row r="30" spans="1:21" ht="15.6">
      <c r="A30" s="4" t="s">
        <v>26</v>
      </c>
      <c r="B30" s="4" t="s">
        <v>27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41"/>
      <c r="O30" s="37"/>
      <c r="P30" s="37"/>
      <c r="Q30" s="37"/>
      <c r="R30" s="37"/>
      <c r="S30" s="37"/>
      <c r="T30" s="37"/>
      <c r="U30" s="37"/>
    </row>
    <row r="31" spans="1:21" ht="15.6">
      <c r="A31" s="4" t="s">
        <v>27</v>
      </c>
      <c r="B31" s="4" t="s">
        <v>28</v>
      </c>
      <c r="C31" s="32"/>
      <c r="D31" s="32"/>
      <c r="E31" s="32"/>
      <c r="F31" s="32"/>
      <c r="G31" s="32" t="s">
        <v>33</v>
      </c>
      <c r="H31" s="32" t="s">
        <v>55</v>
      </c>
      <c r="I31" s="32"/>
      <c r="J31" s="32" t="s">
        <v>73</v>
      </c>
      <c r="K31" s="32"/>
      <c r="L31" s="32" t="s">
        <v>136</v>
      </c>
      <c r="M31" s="32" t="s">
        <v>140</v>
      </c>
      <c r="N31" s="41"/>
      <c r="O31" s="37"/>
      <c r="P31" s="37"/>
      <c r="Q31" s="37"/>
      <c r="R31" s="37" t="s">
        <v>140</v>
      </c>
      <c r="S31" s="37"/>
      <c r="T31" s="37">
        <v>-30</v>
      </c>
      <c r="U31" s="37"/>
    </row>
    <row r="32" spans="1:21" ht="15.6">
      <c r="A32" s="4" t="s">
        <v>28</v>
      </c>
      <c r="B32" s="4" t="s">
        <v>29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41"/>
      <c r="O32" s="37"/>
      <c r="P32" s="37"/>
      <c r="Q32" s="37"/>
      <c r="R32" s="37"/>
      <c r="S32" s="37"/>
      <c r="T32" s="37"/>
      <c r="U32" s="37"/>
    </row>
    <row r="33" spans="1:21" ht="15.6">
      <c r="A33" s="4" t="s">
        <v>29</v>
      </c>
      <c r="B33" s="4" t="s">
        <v>30</v>
      </c>
      <c r="C33" s="32"/>
      <c r="D33" s="32"/>
      <c r="E33" s="32"/>
      <c r="F33" s="32"/>
      <c r="G33" s="32" t="s">
        <v>36</v>
      </c>
      <c r="H33" s="32" t="s">
        <v>56</v>
      </c>
      <c r="I33" s="32"/>
      <c r="J33" s="32" t="s">
        <v>122</v>
      </c>
      <c r="K33" s="32"/>
      <c r="L33" s="32" t="s">
        <v>137</v>
      </c>
      <c r="M33" s="32" t="s">
        <v>140</v>
      </c>
      <c r="N33" s="41"/>
      <c r="O33" s="37"/>
      <c r="P33" s="37"/>
      <c r="Q33" s="37"/>
      <c r="R33" s="37" t="s">
        <v>140</v>
      </c>
      <c r="S33" s="37"/>
      <c r="T33" s="37">
        <v>-34</v>
      </c>
      <c r="U33" s="37"/>
    </row>
    <row r="34" spans="1:21" ht="15.6">
      <c r="A34" s="4" t="s">
        <v>30</v>
      </c>
      <c r="B34" s="4">
        <v>1000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41"/>
      <c r="O34" s="37"/>
      <c r="P34" s="37"/>
      <c r="Q34" s="37"/>
      <c r="R34" s="37"/>
      <c r="S34" s="37"/>
      <c r="T34" s="37"/>
      <c r="U34" s="37"/>
    </row>
    <row r="35" spans="1:21" ht="15.6">
      <c r="A35" s="4">
        <v>1000</v>
      </c>
      <c r="B35" s="4">
        <v>1120</v>
      </c>
      <c r="C35" s="32"/>
      <c r="D35" s="32"/>
      <c r="E35" s="32"/>
      <c r="F35" s="32"/>
      <c r="G35" s="32" t="s">
        <v>96</v>
      </c>
      <c r="H35" s="32" t="s">
        <v>106</v>
      </c>
      <c r="I35" s="32"/>
      <c r="J35" s="32" t="s">
        <v>123</v>
      </c>
      <c r="K35" s="32"/>
      <c r="L35" s="32" t="s">
        <v>111</v>
      </c>
      <c r="M35" s="32" t="s">
        <v>140</v>
      </c>
      <c r="N35" s="41"/>
      <c r="O35" s="37"/>
      <c r="P35" s="37"/>
      <c r="Q35" s="37"/>
      <c r="R35" s="37" t="s">
        <v>140</v>
      </c>
      <c r="S35" s="37"/>
      <c r="T35" s="37">
        <v>-40</v>
      </c>
      <c r="U35" s="37"/>
    </row>
    <row r="36" spans="1:21" ht="15.6">
      <c r="A36" s="4">
        <v>1120</v>
      </c>
      <c r="B36" s="4">
        <v>1250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41"/>
      <c r="O36" s="37"/>
      <c r="P36" s="37"/>
      <c r="Q36" s="37"/>
      <c r="R36" s="37"/>
      <c r="S36" s="37"/>
      <c r="T36" s="37"/>
      <c r="U36" s="37"/>
    </row>
    <row r="37" spans="1:21" ht="15.6">
      <c r="A37" s="4">
        <v>1250</v>
      </c>
      <c r="B37" s="4">
        <v>1400</v>
      </c>
      <c r="C37" s="32"/>
      <c r="D37" s="32"/>
      <c r="E37" s="32"/>
      <c r="F37" s="32"/>
      <c r="G37" s="32" t="s">
        <v>97</v>
      </c>
      <c r="H37" s="32" t="s">
        <v>60</v>
      </c>
      <c r="I37" s="32"/>
      <c r="J37" s="32" t="s">
        <v>75</v>
      </c>
      <c r="K37" s="32"/>
      <c r="L37" s="32" t="s">
        <v>91</v>
      </c>
      <c r="M37" s="32" t="s">
        <v>140</v>
      </c>
      <c r="N37" s="41"/>
      <c r="O37" s="37"/>
      <c r="P37" s="37"/>
      <c r="Q37" s="37"/>
      <c r="R37" s="37" t="s">
        <v>140</v>
      </c>
      <c r="S37" s="37"/>
      <c r="T37" s="37">
        <v>-48</v>
      </c>
      <c r="U37" s="37"/>
    </row>
    <row r="38" spans="1:21" ht="15.6">
      <c r="A38" s="4">
        <v>1400</v>
      </c>
      <c r="B38" s="4">
        <v>1600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41"/>
      <c r="O38" s="37"/>
      <c r="P38" s="37"/>
      <c r="Q38" s="37"/>
      <c r="R38" s="37"/>
      <c r="S38" s="37"/>
      <c r="T38" s="37"/>
      <c r="U38" s="37"/>
    </row>
    <row r="39" spans="1:21" ht="15.6">
      <c r="A39" s="4">
        <v>1600</v>
      </c>
      <c r="B39" s="4">
        <v>1800</v>
      </c>
      <c r="C39" s="32"/>
      <c r="D39" s="32"/>
      <c r="E39" s="32"/>
      <c r="F39" s="32"/>
      <c r="G39" s="32" t="s">
        <v>98</v>
      </c>
      <c r="H39" s="32" t="s">
        <v>61</v>
      </c>
      <c r="I39" s="32"/>
      <c r="J39" s="32" t="s">
        <v>76</v>
      </c>
      <c r="K39" s="32"/>
      <c r="L39" s="32" t="s">
        <v>102</v>
      </c>
      <c r="M39" s="32" t="s">
        <v>140</v>
      </c>
      <c r="N39" s="41"/>
      <c r="O39" s="37"/>
      <c r="P39" s="37"/>
      <c r="Q39" s="37"/>
      <c r="R39" s="37" t="s">
        <v>140</v>
      </c>
      <c r="S39" s="37"/>
      <c r="T39" s="37">
        <v>-58</v>
      </c>
      <c r="U39" s="37"/>
    </row>
    <row r="40" spans="1:21" ht="15.6">
      <c r="A40" s="4">
        <v>1800</v>
      </c>
      <c r="B40" s="4">
        <v>2000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41"/>
      <c r="O40" s="37"/>
      <c r="P40" s="37"/>
      <c r="Q40" s="37"/>
      <c r="R40" s="37"/>
      <c r="S40" s="37"/>
      <c r="T40" s="37"/>
      <c r="U40" s="37"/>
    </row>
    <row r="41" spans="1:21" ht="15.6">
      <c r="A41" s="4">
        <v>2000</v>
      </c>
      <c r="B41" s="4">
        <v>2240</v>
      </c>
      <c r="C41" s="32"/>
      <c r="D41" s="32"/>
      <c r="E41" s="32"/>
      <c r="F41" s="32"/>
      <c r="G41" s="32" t="s">
        <v>64</v>
      </c>
      <c r="H41" s="32" t="s">
        <v>62</v>
      </c>
      <c r="I41" s="32"/>
      <c r="J41" s="32" t="s">
        <v>77</v>
      </c>
      <c r="K41" s="32"/>
      <c r="L41" s="32" t="s">
        <v>84</v>
      </c>
      <c r="M41" s="32" t="s">
        <v>140</v>
      </c>
      <c r="N41" s="41"/>
      <c r="O41" s="37"/>
      <c r="P41" s="37"/>
      <c r="Q41" s="37"/>
      <c r="R41" s="37" t="s">
        <v>140</v>
      </c>
      <c r="S41" s="37"/>
      <c r="T41" s="37">
        <v>-68</v>
      </c>
      <c r="U41" s="37"/>
    </row>
    <row r="42" spans="1:21" ht="15.6">
      <c r="A42" s="4">
        <v>2240</v>
      </c>
      <c r="B42" s="4">
        <v>2500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41"/>
      <c r="O42" s="37"/>
      <c r="P42" s="37"/>
      <c r="Q42" s="37"/>
      <c r="R42" s="37"/>
      <c r="S42" s="37"/>
      <c r="T42" s="37"/>
      <c r="U42" s="37"/>
    </row>
    <row r="43" spans="1:21" ht="15.6">
      <c r="A43" s="4">
        <v>2500</v>
      </c>
      <c r="B43" s="4">
        <v>2800</v>
      </c>
      <c r="C43" s="32"/>
      <c r="D43" s="32"/>
      <c r="E43" s="32"/>
      <c r="F43" s="32"/>
      <c r="G43" s="32" t="s">
        <v>42</v>
      </c>
      <c r="H43" s="32" t="s">
        <v>33</v>
      </c>
      <c r="I43" s="32"/>
      <c r="J43" s="32" t="s">
        <v>95</v>
      </c>
      <c r="K43" s="32"/>
      <c r="L43" s="32" t="s">
        <v>138</v>
      </c>
      <c r="M43" s="32" t="s">
        <v>140</v>
      </c>
      <c r="N43" s="41"/>
      <c r="O43" s="37"/>
      <c r="P43" s="37"/>
      <c r="Q43" s="37"/>
      <c r="R43" s="37" t="s">
        <v>140</v>
      </c>
      <c r="S43" s="37"/>
      <c r="T43" s="37">
        <v>-76</v>
      </c>
      <c r="U43" s="37"/>
    </row>
    <row r="44" spans="1:21" ht="15.6">
      <c r="A44" s="4">
        <v>2800</v>
      </c>
      <c r="B44" s="4">
        <v>3150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42"/>
      <c r="O44" s="37"/>
      <c r="P44" s="37"/>
      <c r="Q44" s="37"/>
      <c r="R44" s="37"/>
      <c r="S44" s="37"/>
      <c r="T44" s="37"/>
      <c r="U44" s="37"/>
    </row>
    <row r="45" spans="1:21" ht="144.6" customHeight="1">
      <c r="A45" s="27" t="s">
        <v>329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</row>
  </sheetData>
  <mergeCells count="309">
    <mergeCell ref="S29:S30"/>
    <mergeCell ref="S23:S24"/>
    <mergeCell ref="M27:M28"/>
    <mergeCell ref="M23:M24"/>
    <mergeCell ref="M11:M12"/>
    <mergeCell ref="M7:M8"/>
    <mergeCell ref="N4:N44"/>
    <mergeCell ref="M20:M22"/>
    <mergeCell ref="O17:O19"/>
    <mergeCell ref="P17:P19"/>
    <mergeCell ref="Q17:Q19"/>
    <mergeCell ref="R17:R19"/>
    <mergeCell ref="R20:R22"/>
    <mergeCell ref="P41:P42"/>
    <mergeCell ref="Q41:Q42"/>
    <mergeCell ref="R41:R42"/>
    <mergeCell ref="O29:O30"/>
    <mergeCell ref="P29:P30"/>
    <mergeCell ref="Q29:Q30"/>
    <mergeCell ref="R29:R30"/>
    <mergeCell ref="M25:M26"/>
    <mergeCell ref="M29:M30"/>
    <mergeCell ref="M9:M10"/>
    <mergeCell ref="M13:M14"/>
    <mergeCell ref="U43:U44"/>
    <mergeCell ref="G17:G19"/>
    <mergeCell ref="H17:H19"/>
    <mergeCell ref="G20:G22"/>
    <mergeCell ref="H20:H22"/>
    <mergeCell ref="I17:I19"/>
    <mergeCell ref="J17:J19"/>
    <mergeCell ref="K17:K19"/>
    <mergeCell ref="U20:U22"/>
    <mergeCell ref="L17:L19"/>
    <mergeCell ref="M17:M19"/>
    <mergeCell ref="O43:O44"/>
    <mergeCell ref="P43:P44"/>
    <mergeCell ref="Q43:Q44"/>
    <mergeCell ref="R43:R44"/>
    <mergeCell ref="O39:O40"/>
    <mergeCell ref="P39:P40"/>
    <mergeCell ref="Q39:Q40"/>
    <mergeCell ref="R39:R40"/>
    <mergeCell ref="P33:P34"/>
    <mergeCell ref="S43:S44"/>
    <mergeCell ref="T43:T44"/>
    <mergeCell ref="U39:U40"/>
    <mergeCell ref="O41:O42"/>
    <mergeCell ref="T41:T42"/>
    <mergeCell ref="U41:U42"/>
    <mergeCell ref="S39:S40"/>
    <mergeCell ref="T39:T40"/>
    <mergeCell ref="U35:U36"/>
    <mergeCell ref="O37:O38"/>
    <mergeCell ref="P37:P38"/>
    <mergeCell ref="Q37:Q38"/>
    <mergeCell ref="R37:R38"/>
    <mergeCell ref="S37:S38"/>
    <mergeCell ref="T37:T38"/>
    <mergeCell ref="U37:U38"/>
    <mergeCell ref="S41:S42"/>
    <mergeCell ref="U33:U34"/>
    <mergeCell ref="O31:O32"/>
    <mergeCell ref="P31:P32"/>
    <mergeCell ref="O35:O36"/>
    <mergeCell ref="P35:P36"/>
    <mergeCell ref="Q35:Q36"/>
    <mergeCell ref="R35:R36"/>
    <mergeCell ref="S35:S36"/>
    <mergeCell ref="T35:T36"/>
    <mergeCell ref="O33:O34"/>
    <mergeCell ref="Q33:Q34"/>
    <mergeCell ref="R33:R34"/>
    <mergeCell ref="S33:S34"/>
    <mergeCell ref="T33:T34"/>
    <mergeCell ref="U31:U32"/>
    <mergeCell ref="T27:T28"/>
    <mergeCell ref="Q31:Q32"/>
    <mergeCell ref="R31:R32"/>
    <mergeCell ref="S31:S32"/>
    <mergeCell ref="T31:T32"/>
    <mergeCell ref="U27:U28"/>
    <mergeCell ref="U25:U26"/>
    <mergeCell ref="O23:O24"/>
    <mergeCell ref="P23:P24"/>
    <mergeCell ref="T29:T30"/>
    <mergeCell ref="U29:U30"/>
    <mergeCell ref="O27:O28"/>
    <mergeCell ref="P27:P28"/>
    <mergeCell ref="Q27:Q28"/>
    <mergeCell ref="R27:R28"/>
    <mergeCell ref="S27:S28"/>
    <mergeCell ref="O25:O26"/>
    <mergeCell ref="P25:P26"/>
    <mergeCell ref="Q25:Q26"/>
    <mergeCell ref="R25:R26"/>
    <mergeCell ref="S25:S26"/>
    <mergeCell ref="T25:T26"/>
    <mergeCell ref="Q23:Q24"/>
    <mergeCell ref="R23:R24"/>
    <mergeCell ref="T23:T24"/>
    <mergeCell ref="T17:T19"/>
    <mergeCell ref="U17:U19"/>
    <mergeCell ref="S20:S22"/>
    <mergeCell ref="T20:T22"/>
    <mergeCell ref="U23:U24"/>
    <mergeCell ref="Q20:Q22"/>
    <mergeCell ref="U15:U16"/>
    <mergeCell ref="O15:O16"/>
    <mergeCell ref="P15:P16"/>
    <mergeCell ref="Q15:Q16"/>
    <mergeCell ref="R15:R16"/>
    <mergeCell ref="S15:S16"/>
    <mergeCell ref="T15:T16"/>
    <mergeCell ref="S17:S19"/>
    <mergeCell ref="O20:O22"/>
    <mergeCell ref="P20:P22"/>
    <mergeCell ref="U11:U12"/>
    <mergeCell ref="O13:O14"/>
    <mergeCell ref="P13:P14"/>
    <mergeCell ref="Q13:Q14"/>
    <mergeCell ref="R13:R14"/>
    <mergeCell ref="S13:S14"/>
    <mergeCell ref="T13:T14"/>
    <mergeCell ref="U13:U14"/>
    <mergeCell ref="O11:O12"/>
    <mergeCell ref="P11:P12"/>
    <mergeCell ref="Q11:Q12"/>
    <mergeCell ref="R11:R12"/>
    <mergeCell ref="S11:S12"/>
    <mergeCell ref="T11:T12"/>
    <mergeCell ref="U7:U8"/>
    <mergeCell ref="O9:O10"/>
    <mergeCell ref="P9:P10"/>
    <mergeCell ref="Q9:Q10"/>
    <mergeCell ref="R9:R10"/>
    <mergeCell ref="S9:S10"/>
    <mergeCell ref="T9:T10"/>
    <mergeCell ref="U9:U10"/>
    <mergeCell ref="O7:O8"/>
    <mergeCell ref="P7:P8"/>
    <mergeCell ref="Q7:Q8"/>
    <mergeCell ref="R7:R8"/>
    <mergeCell ref="S7:S8"/>
    <mergeCell ref="T7:T8"/>
    <mergeCell ref="H43:H44"/>
    <mergeCell ref="I43:I44"/>
    <mergeCell ref="J43:J44"/>
    <mergeCell ref="K43:K44"/>
    <mergeCell ref="L43:L44"/>
    <mergeCell ref="M43:M44"/>
    <mergeCell ref="H41:H42"/>
    <mergeCell ref="I41:I42"/>
    <mergeCell ref="J41:J42"/>
    <mergeCell ref="K41:K42"/>
    <mergeCell ref="L41:L42"/>
    <mergeCell ref="M41:M42"/>
    <mergeCell ref="H39:H40"/>
    <mergeCell ref="I39:I40"/>
    <mergeCell ref="J39:J40"/>
    <mergeCell ref="K39:K40"/>
    <mergeCell ref="L39:L40"/>
    <mergeCell ref="M39:M40"/>
    <mergeCell ref="M35:M36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M31:M32"/>
    <mergeCell ref="G33:G34"/>
    <mergeCell ref="H33:H34"/>
    <mergeCell ref="I33:I34"/>
    <mergeCell ref="J33:J34"/>
    <mergeCell ref="K33:K34"/>
    <mergeCell ref="L33:L34"/>
    <mergeCell ref="M33:M34"/>
    <mergeCell ref="G31:G32"/>
    <mergeCell ref="H31:H32"/>
    <mergeCell ref="I31:I32"/>
    <mergeCell ref="J31:J32"/>
    <mergeCell ref="K31:K32"/>
    <mergeCell ref="L31:L32"/>
    <mergeCell ref="G23:G24"/>
    <mergeCell ref="H23:H24"/>
    <mergeCell ref="I23:I24"/>
    <mergeCell ref="J23:J24"/>
    <mergeCell ref="K23:K24"/>
    <mergeCell ref="L23:L24"/>
    <mergeCell ref="G29:G30"/>
    <mergeCell ref="H29:H30"/>
    <mergeCell ref="I29:I30"/>
    <mergeCell ref="J29:J30"/>
    <mergeCell ref="K29:K30"/>
    <mergeCell ref="L29:L30"/>
    <mergeCell ref="G27:G28"/>
    <mergeCell ref="H27:H28"/>
    <mergeCell ref="I27:I28"/>
    <mergeCell ref="J27:J28"/>
    <mergeCell ref="K27:K28"/>
    <mergeCell ref="L27:L28"/>
    <mergeCell ref="G25:G26"/>
    <mergeCell ref="H25:H26"/>
    <mergeCell ref="I25:I26"/>
    <mergeCell ref="J25:J26"/>
    <mergeCell ref="K25:K26"/>
    <mergeCell ref="L25:L26"/>
    <mergeCell ref="G7:G8"/>
    <mergeCell ref="H7:H8"/>
    <mergeCell ref="I7:I8"/>
    <mergeCell ref="J7:J8"/>
    <mergeCell ref="K7:K8"/>
    <mergeCell ref="L7:L8"/>
    <mergeCell ref="G13:G14"/>
    <mergeCell ref="H13:H14"/>
    <mergeCell ref="I13:I14"/>
    <mergeCell ref="J13:J14"/>
    <mergeCell ref="K13:K14"/>
    <mergeCell ref="L13:L14"/>
    <mergeCell ref="G11:G12"/>
    <mergeCell ref="H11:H12"/>
    <mergeCell ref="I11:I12"/>
    <mergeCell ref="J11:J12"/>
    <mergeCell ref="K11:K12"/>
    <mergeCell ref="L11:L12"/>
    <mergeCell ref="G9:G10"/>
    <mergeCell ref="H9:H10"/>
    <mergeCell ref="I9:I10"/>
    <mergeCell ref="J9:J10"/>
    <mergeCell ref="K9:K10"/>
    <mergeCell ref="L9:L10"/>
    <mergeCell ref="I20:I22"/>
    <mergeCell ref="J20:J22"/>
    <mergeCell ref="K20:K22"/>
    <mergeCell ref="L20:L22"/>
    <mergeCell ref="M15:M16"/>
    <mergeCell ref="G15:G16"/>
    <mergeCell ref="H15:H16"/>
    <mergeCell ref="I15:I16"/>
    <mergeCell ref="J15:J16"/>
    <mergeCell ref="K15:K16"/>
    <mergeCell ref="L15:L16"/>
    <mergeCell ref="C43:C44"/>
    <mergeCell ref="D43:D44"/>
    <mergeCell ref="E43:E44"/>
    <mergeCell ref="F43:F44"/>
    <mergeCell ref="F13:F14"/>
    <mergeCell ref="F15:F16"/>
    <mergeCell ref="F23:F24"/>
    <mergeCell ref="C39:C40"/>
    <mergeCell ref="D39:D40"/>
    <mergeCell ref="E39:E40"/>
    <mergeCell ref="F39:F40"/>
    <mergeCell ref="C41:C42"/>
    <mergeCell ref="D41:D42"/>
    <mergeCell ref="E41:E42"/>
    <mergeCell ref="F41:F42"/>
    <mergeCell ref="C33:C34"/>
    <mergeCell ref="D33:D34"/>
    <mergeCell ref="E33:E34"/>
    <mergeCell ref="F33:F34"/>
    <mergeCell ref="C35:C36"/>
    <mergeCell ref="D35:D36"/>
    <mergeCell ref="E35:E36"/>
    <mergeCell ref="F35:F36"/>
    <mergeCell ref="C29:C30"/>
    <mergeCell ref="F27:F28"/>
    <mergeCell ref="D29:D30"/>
    <mergeCell ref="E29:E30"/>
    <mergeCell ref="F29:F30"/>
    <mergeCell ref="C31:C32"/>
    <mergeCell ref="D31:D32"/>
    <mergeCell ref="E31:E32"/>
    <mergeCell ref="F31:F32"/>
    <mergeCell ref="D7:D8"/>
    <mergeCell ref="D9:D10"/>
    <mergeCell ref="C7:C8"/>
    <mergeCell ref="C9:C10"/>
    <mergeCell ref="A45:U45"/>
    <mergeCell ref="A2:A3"/>
    <mergeCell ref="B2:B3"/>
    <mergeCell ref="C2:N2"/>
    <mergeCell ref="C1:N1"/>
    <mergeCell ref="A1:B1"/>
    <mergeCell ref="O1:U1"/>
    <mergeCell ref="O3:Q3"/>
    <mergeCell ref="R3:S3"/>
    <mergeCell ref="T3:U3"/>
    <mergeCell ref="G43:G44"/>
    <mergeCell ref="G41:G42"/>
    <mergeCell ref="G39:G40"/>
    <mergeCell ref="G37:G38"/>
    <mergeCell ref="C37:C38"/>
    <mergeCell ref="D37:D38"/>
    <mergeCell ref="F7:F8"/>
    <mergeCell ref="F9:F10"/>
    <mergeCell ref="F11:F12"/>
    <mergeCell ref="E7:E8"/>
    <mergeCell ref="E9:E10"/>
    <mergeCell ref="E37:E38"/>
    <mergeCell ref="F37:F38"/>
    <mergeCell ref="F25:F2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CC3C-CAE8-46C9-9A6A-E70FAEBF85D6}">
  <sheetPr codeName="工作表3"/>
  <dimension ref="A1:W46"/>
  <sheetViews>
    <sheetView tabSelected="1" workbookViewId="0">
      <selection activeCell="Y15" sqref="Y15"/>
    </sheetView>
  </sheetViews>
  <sheetFormatPr defaultRowHeight="15"/>
  <cols>
    <col min="2" max="2" width="18.5" customWidth="1"/>
    <col min="3" max="3" width="11.375" bestFit="1" customWidth="1"/>
    <col min="5" max="5" width="25.875" customWidth="1"/>
    <col min="18" max="18" width="12.25" customWidth="1"/>
    <col min="19" max="20" width="11.125" customWidth="1"/>
  </cols>
  <sheetData>
    <row r="1" spans="1:23" ht="28.8" customHeight="1">
      <c r="A1" s="33" t="s">
        <v>375</v>
      </c>
      <c r="B1" s="56"/>
      <c r="C1" s="63" t="s">
        <v>328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  <c r="R1" s="54" t="s">
        <v>348</v>
      </c>
      <c r="S1" s="55"/>
      <c r="T1" s="55"/>
      <c r="U1" s="55"/>
      <c r="V1" s="55"/>
      <c r="W1" s="55"/>
    </row>
    <row r="2" spans="1:23" ht="16.2">
      <c r="A2" s="57" t="s">
        <v>306</v>
      </c>
      <c r="B2" s="59" t="s">
        <v>305</v>
      </c>
      <c r="C2" s="10" t="s">
        <v>584</v>
      </c>
      <c r="D2" s="11" t="s">
        <v>583</v>
      </c>
      <c r="E2" s="1" t="s">
        <v>585</v>
      </c>
      <c r="F2" s="60" t="s">
        <v>590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  <c r="R2" s="54"/>
      <c r="S2" s="55"/>
      <c r="T2" s="55"/>
      <c r="U2" s="55"/>
      <c r="V2" s="55"/>
      <c r="W2" s="55"/>
    </row>
    <row r="3" spans="1:23" ht="15.6">
      <c r="A3" s="58"/>
      <c r="B3" s="58"/>
      <c r="C3" s="24" t="s">
        <v>586</v>
      </c>
      <c r="D3" s="26"/>
      <c r="E3" s="3" t="s">
        <v>587</v>
      </c>
      <c r="F3" s="3" t="s">
        <v>330</v>
      </c>
      <c r="G3" s="3" t="s">
        <v>331</v>
      </c>
      <c r="H3" s="3" t="s">
        <v>332</v>
      </c>
      <c r="I3" s="3" t="s">
        <v>333</v>
      </c>
      <c r="J3" s="3" t="s">
        <v>334</v>
      </c>
      <c r="K3" s="3" t="s">
        <v>335</v>
      </c>
      <c r="L3" s="3" t="s">
        <v>336</v>
      </c>
      <c r="M3" s="3" t="s">
        <v>337</v>
      </c>
      <c r="N3" s="3" t="s">
        <v>338</v>
      </c>
      <c r="O3" s="3" t="s">
        <v>339</v>
      </c>
      <c r="P3" s="3" t="s">
        <v>340</v>
      </c>
      <c r="Q3" s="3" t="s">
        <v>341</v>
      </c>
      <c r="R3" s="3" t="s">
        <v>352</v>
      </c>
      <c r="S3" s="3" t="s">
        <v>342</v>
      </c>
      <c r="T3" s="3" t="s">
        <v>353</v>
      </c>
      <c r="U3" s="3" t="s">
        <v>343</v>
      </c>
      <c r="V3" s="3" t="s">
        <v>344</v>
      </c>
      <c r="W3" s="3" t="s">
        <v>345</v>
      </c>
    </row>
    <row r="4" spans="1:23" ht="15.6" customHeight="1">
      <c r="A4" s="3" t="s">
        <v>0</v>
      </c>
      <c r="B4" s="3" t="s">
        <v>1</v>
      </c>
      <c r="C4" s="1">
        <v>-4</v>
      </c>
      <c r="D4" s="1">
        <v>-4</v>
      </c>
      <c r="E4" s="51" t="s">
        <v>349</v>
      </c>
      <c r="F4" s="1">
        <v>-6</v>
      </c>
      <c r="G4" s="1">
        <v>-10</v>
      </c>
      <c r="H4" s="1">
        <v>-14</v>
      </c>
      <c r="I4" s="1"/>
      <c r="J4" s="1">
        <v>-18</v>
      </c>
      <c r="K4" s="1"/>
      <c r="L4" s="1">
        <v>-20</v>
      </c>
      <c r="M4" s="1"/>
      <c r="N4" s="5">
        <v>-26</v>
      </c>
      <c r="O4" s="2">
        <v>-32</v>
      </c>
      <c r="P4" s="2">
        <v>-40</v>
      </c>
      <c r="Q4" s="2">
        <v>-60</v>
      </c>
      <c r="R4" s="2">
        <v>0</v>
      </c>
      <c r="S4" s="2" t="s">
        <v>140</v>
      </c>
      <c r="T4" s="2">
        <v>0</v>
      </c>
      <c r="U4" s="2">
        <v>0</v>
      </c>
      <c r="V4" s="13">
        <v>0</v>
      </c>
      <c r="W4" s="13">
        <v>0</v>
      </c>
    </row>
    <row r="5" spans="1:23" ht="24.6" customHeight="1">
      <c r="A5" s="3" t="s">
        <v>1</v>
      </c>
      <c r="B5" s="3" t="s">
        <v>2</v>
      </c>
      <c r="C5" s="12" t="s">
        <v>354</v>
      </c>
      <c r="D5" s="1">
        <v>0</v>
      </c>
      <c r="E5" s="41"/>
      <c r="F5" s="1">
        <v>-12</v>
      </c>
      <c r="G5" s="1">
        <v>-15</v>
      </c>
      <c r="H5" s="1">
        <v>-19</v>
      </c>
      <c r="I5" s="1"/>
      <c r="J5" s="1">
        <v>-23</v>
      </c>
      <c r="K5" s="1"/>
      <c r="L5" s="1">
        <v>-28</v>
      </c>
      <c r="M5" s="1"/>
      <c r="N5" s="5">
        <v>-35</v>
      </c>
      <c r="O5" s="2">
        <v>-42</v>
      </c>
      <c r="P5" s="2">
        <v>-50</v>
      </c>
      <c r="Q5" s="2">
        <v>-80</v>
      </c>
      <c r="R5" s="2">
        <v>1</v>
      </c>
      <c r="S5" s="2">
        <v>1.5</v>
      </c>
      <c r="T5" s="2">
        <v>1</v>
      </c>
      <c r="U5" s="2">
        <v>3</v>
      </c>
      <c r="V5" s="2">
        <v>4</v>
      </c>
      <c r="W5" s="2">
        <v>6</v>
      </c>
    </row>
    <row r="6" spans="1:23" ht="15.6">
      <c r="A6" s="3" t="s">
        <v>2</v>
      </c>
      <c r="B6" s="3" t="s">
        <v>3</v>
      </c>
      <c r="C6" s="1" t="s">
        <v>355</v>
      </c>
      <c r="D6" s="1">
        <v>0</v>
      </c>
      <c r="E6" s="41"/>
      <c r="F6" s="1">
        <v>-15</v>
      </c>
      <c r="G6" s="1">
        <v>-19</v>
      </c>
      <c r="H6" s="1">
        <v>-23</v>
      </c>
      <c r="I6" s="1"/>
      <c r="J6" s="1">
        <v>-28</v>
      </c>
      <c r="K6" s="1"/>
      <c r="L6" s="1">
        <v>-34</v>
      </c>
      <c r="M6" s="1"/>
      <c r="N6" s="5">
        <v>-42</v>
      </c>
      <c r="O6" s="2">
        <v>-52</v>
      </c>
      <c r="P6" s="2">
        <v>-67</v>
      </c>
      <c r="Q6" s="2">
        <v>-97</v>
      </c>
      <c r="R6" s="2">
        <v>1</v>
      </c>
      <c r="S6" s="2">
        <v>1.5</v>
      </c>
      <c r="T6" s="2">
        <v>2</v>
      </c>
      <c r="U6" s="2">
        <v>3</v>
      </c>
      <c r="V6" s="2">
        <v>6</v>
      </c>
      <c r="W6" s="2">
        <v>7</v>
      </c>
    </row>
    <row r="7" spans="1:23" ht="15.6">
      <c r="A7" s="3" t="s">
        <v>3</v>
      </c>
      <c r="B7" s="3" t="s">
        <v>4</v>
      </c>
      <c r="C7" s="47" t="s">
        <v>357</v>
      </c>
      <c r="D7" s="49">
        <v>0</v>
      </c>
      <c r="E7" s="41"/>
      <c r="F7" s="45">
        <v>-18</v>
      </c>
      <c r="G7" s="45">
        <v>-23</v>
      </c>
      <c r="H7" s="45">
        <v>-28</v>
      </c>
      <c r="I7" s="49"/>
      <c r="J7" s="49">
        <v>-33</v>
      </c>
      <c r="K7" s="1"/>
      <c r="L7" s="1">
        <v>-40</v>
      </c>
      <c r="M7" s="1"/>
      <c r="N7" s="5">
        <v>-50</v>
      </c>
      <c r="O7" s="2">
        <v>-64</v>
      </c>
      <c r="P7" s="2">
        <v>-90</v>
      </c>
      <c r="Q7" s="2">
        <v>-130</v>
      </c>
      <c r="R7" s="43">
        <v>1</v>
      </c>
      <c r="S7" s="43">
        <v>2</v>
      </c>
      <c r="T7" s="43">
        <v>3</v>
      </c>
      <c r="U7" s="43">
        <v>3</v>
      </c>
      <c r="V7" s="43">
        <v>7</v>
      </c>
      <c r="W7" s="43">
        <v>9</v>
      </c>
    </row>
    <row r="8" spans="1:23" ht="15.6">
      <c r="A8" s="3" t="s">
        <v>4</v>
      </c>
      <c r="B8" s="3" t="s">
        <v>5</v>
      </c>
      <c r="C8" s="53"/>
      <c r="D8" s="50"/>
      <c r="E8" s="41"/>
      <c r="F8" s="45"/>
      <c r="G8" s="45"/>
      <c r="H8" s="45"/>
      <c r="I8" s="50"/>
      <c r="J8" s="50"/>
      <c r="K8" s="1">
        <v>-39</v>
      </c>
      <c r="L8" s="1">
        <v>-45</v>
      </c>
      <c r="M8" s="1"/>
      <c r="N8" s="5">
        <v>-60</v>
      </c>
      <c r="O8" s="2">
        <v>-77</v>
      </c>
      <c r="P8" s="2">
        <v>-108</v>
      </c>
      <c r="Q8" s="2">
        <v>-150</v>
      </c>
      <c r="R8" s="43"/>
      <c r="S8" s="43"/>
      <c r="T8" s="43"/>
      <c r="U8" s="43"/>
      <c r="V8" s="43"/>
      <c r="W8" s="43"/>
    </row>
    <row r="9" spans="1:23" ht="15.6">
      <c r="A9" s="3" t="s">
        <v>5</v>
      </c>
      <c r="B9" s="3" t="s">
        <v>6</v>
      </c>
      <c r="C9" s="46" t="s">
        <v>358</v>
      </c>
      <c r="D9" s="45">
        <v>0</v>
      </c>
      <c r="E9" s="41"/>
      <c r="F9" s="45">
        <v>-22</v>
      </c>
      <c r="G9" s="45">
        <v>-28</v>
      </c>
      <c r="H9" s="45">
        <v>-35</v>
      </c>
      <c r="I9" s="11"/>
      <c r="J9" s="1">
        <v>-41</v>
      </c>
      <c r="K9" s="1">
        <v>-47</v>
      </c>
      <c r="L9" s="1">
        <v>-54</v>
      </c>
      <c r="M9" s="1">
        <v>-63</v>
      </c>
      <c r="N9" s="5">
        <v>-73</v>
      </c>
      <c r="O9" s="2">
        <v>-98</v>
      </c>
      <c r="P9" s="2">
        <v>-136</v>
      </c>
      <c r="Q9" s="2">
        <v>-188</v>
      </c>
      <c r="R9" s="43">
        <v>1.5</v>
      </c>
      <c r="S9" s="43">
        <v>2</v>
      </c>
      <c r="T9" s="43">
        <v>3</v>
      </c>
      <c r="U9" s="43">
        <v>4</v>
      </c>
      <c r="V9" s="43">
        <v>8</v>
      </c>
      <c r="W9" s="43">
        <v>12</v>
      </c>
    </row>
    <row r="10" spans="1:23" ht="15.6">
      <c r="A10" s="3" t="s">
        <v>6</v>
      </c>
      <c r="B10" s="3" t="s">
        <v>7</v>
      </c>
      <c r="C10" s="46"/>
      <c r="D10" s="45"/>
      <c r="E10" s="41"/>
      <c r="F10" s="45"/>
      <c r="G10" s="45"/>
      <c r="H10" s="45"/>
      <c r="I10" s="1">
        <v>-41</v>
      </c>
      <c r="J10" s="1">
        <v>-48</v>
      </c>
      <c r="K10" s="1">
        <v>-55</v>
      </c>
      <c r="L10" s="1">
        <v>-64</v>
      </c>
      <c r="M10" s="1">
        <v>-75</v>
      </c>
      <c r="N10" s="5">
        <v>-88</v>
      </c>
      <c r="O10" s="2">
        <v>-118</v>
      </c>
      <c r="P10" s="2">
        <v>-160</v>
      </c>
      <c r="Q10" s="2">
        <v>-218</v>
      </c>
      <c r="R10" s="43"/>
      <c r="S10" s="43"/>
      <c r="T10" s="43"/>
      <c r="U10" s="43"/>
      <c r="V10" s="43"/>
      <c r="W10" s="43"/>
    </row>
    <row r="11" spans="1:23" ht="15.6">
      <c r="A11" s="3" t="s">
        <v>7</v>
      </c>
      <c r="B11" s="3" t="s">
        <v>8</v>
      </c>
      <c r="C11" s="47" t="s">
        <v>359</v>
      </c>
      <c r="D11" s="49">
        <v>0</v>
      </c>
      <c r="E11" s="41"/>
      <c r="F11" s="45">
        <v>-26</v>
      </c>
      <c r="G11" s="45">
        <v>-34</v>
      </c>
      <c r="H11" s="45">
        <v>-43</v>
      </c>
      <c r="I11" s="1">
        <v>-48</v>
      </c>
      <c r="J11" s="1">
        <v>-60</v>
      </c>
      <c r="K11" s="1">
        <v>-68</v>
      </c>
      <c r="L11" s="1">
        <v>-80</v>
      </c>
      <c r="M11" s="1">
        <v>-94</v>
      </c>
      <c r="N11" s="5">
        <v>-112</v>
      </c>
      <c r="O11" s="2">
        <v>-148</v>
      </c>
      <c r="P11" s="2">
        <v>-200</v>
      </c>
      <c r="Q11" s="2">
        <v>-274</v>
      </c>
      <c r="R11" s="43">
        <v>1.5</v>
      </c>
      <c r="S11" s="43">
        <v>3</v>
      </c>
      <c r="T11" s="43">
        <v>4</v>
      </c>
      <c r="U11" s="43">
        <v>5</v>
      </c>
      <c r="V11" s="43">
        <v>9</v>
      </c>
      <c r="W11" s="43">
        <v>14</v>
      </c>
    </row>
    <row r="12" spans="1:23" ht="15.6">
      <c r="A12" s="3" t="s">
        <v>8</v>
      </c>
      <c r="B12" s="3" t="s">
        <v>9</v>
      </c>
      <c r="C12" s="53"/>
      <c r="D12" s="50"/>
      <c r="E12" s="41"/>
      <c r="F12" s="45"/>
      <c r="G12" s="45"/>
      <c r="H12" s="45"/>
      <c r="I12" s="1">
        <v>-54</v>
      </c>
      <c r="J12" s="1">
        <v>-70</v>
      </c>
      <c r="K12" s="1">
        <v>-81</v>
      </c>
      <c r="L12" s="1">
        <v>-97</v>
      </c>
      <c r="M12" s="1">
        <v>-114</v>
      </c>
      <c r="N12" s="5">
        <v>-136</v>
      </c>
      <c r="O12" s="2">
        <v>-180</v>
      </c>
      <c r="P12" s="2">
        <v>-242</v>
      </c>
      <c r="Q12" s="2">
        <v>-325</v>
      </c>
      <c r="R12" s="43"/>
      <c r="S12" s="43"/>
      <c r="T12" s="43"/>
      <c r="U12" s="43"/>
      <c r="V12" s="43"/>
      <c r="W12" s="43"/>
    </row>
    <row r="13" spans="1:23" ht="15.6">
      <c r="A13" s="3" t="s">
        <v>9</v>
      </c>
      <c r="B13" s="3" t="s">
        <v>10</v>
      </c>
      <c r="C13" s="47" t="s">
        <v>360</v>
      </c>
      <c r="D13" s="49">
        <v>0</v>
      </c>
      <c r="E13" s="41"/>
      <c r="F13" s="45">
        <v>-32</v>
      </c>
      <c r="G13" s="1">
        <v>-41</v>
      </c>
      <c r="H13" s="1">
        <v>-53</v>
      </c>
      <c r="I13" s="1">
        <v>-66</v>
      </c>
      <c r="J13" s="1">
        <v>-87</v>
      </c>
      <c r="K13" s="1">
        <v>-102</v>
      </c>
      <c r="L13" s="1">
        <v>-122</v>
      </c>
      <c r="M13" s="1">
        <v>-144</v>
      </c>
      <c r="N13" s="5">
        <v>-172</v>
      </c>
      <c r="O13" s="2">
        <v>-226</v>
      </c>
      <c r="P13" s="2">
        <v>-300</v>
      </c>
      <c r="Q13" s="2">
        <v>-405</v>
      </c>
      <c r="R13" s="43">
        <v>2</v>
      </c>
      <c r="S13" s="43">
        <v>3</v>
      </c>
      <c r="T13" s="43">
        <v>5</v>
      </c>
      <c r="U13" s="43">
        <v>6</v>
      </c>
      <c r="V13" s="43">
        <v>11</v>
      </c>
      <c r="W13" s="43">
        <v>16</v>
      </c>
    </row>
    <row r="14" spans="1:23" ht="15.6">
      <c r="A14" s="3" t="s">
        <v>10</v>
      </c>
      <c r="B14" s="3" t="s">
        <v>11</v>
      </c>
      <c r="C14" s="53"/>
      <c r="D14" s="50"/>
      <c r="E14" s="41"/>
      <c r="F14" s="45"/>
      <c r="G14" s="1">
        <v>-43</v>
      </c>
      <c r="H14" s="1">
        <v>-59</v>
      </c>
      <c r="I14" s="1">
        <v>-75</v>
      </c>
      <c r="J14" s="1">
        <v>-102</v>
      </c>
      <c r="K14" s="1">
        <v>-120</v>
      </c>
      <c r="L14" s="1">
        <v>-146</v>
      </c>
      <c r="M14" s="1">
        <v>-174</v>
      </c>
      <c r="N14" s="5">
        <v>-210</v>
      </c>
      <c r="O14" s="2">
        <v>-274</v>
      </c>
      <c r="P14" s="2">
        <v>-360</v>
      </c>
      <c r="Q14" s="2">
        <v>-480</v>
      </c>
      <c r="R14" s="43"/>
      <c r="S14" s="43"/>
      <c r="T14" s="43"/>
      <c r="U14" s="43"/>
      <c r="V14" s="43"/>
      <c r="W14" s="43"/>
    </row>
    <row r="15" spans="1:23" ht="15.6">
      <c r="A15" s="3" t="s">
        <v>11</v>
      </c>
      <c r="B15" s="3" t="s">
        <v>12</v>
      </c>
      <c r="C15" s="47" t="s">
        <v>361</v>
      </c>
      <c r="D15" s="49">
        <v>0</v>
      </c>
      <c r="E15" s="41"/>
      <c r="F15" s="45">
        <v>-37</v>
      </c>
      <c r="G15" s="1">
        <v>-51</v>
      </c>
      <c r="H15" s="1">
        <v>-71</v>
      </c>
      <c r="I15" s="1">
        <v>-91</v>
      </c>
      <c r="J15" s="1">
        <v>-124</v>
      </c>
      <c r="K15" s="1">
        <v>-146</v>
      </c>
      <c r="L15" s="1">
        <v>-178</v>
      </c>
      <c r="M15" s="1">
        <v>-214</v>
      </c>
      <c r="N15" s="5">
        <v>-258</v>
      </c>
      <c r="O15" s="2">
        <v>-335</v>
      </c>
      <c r="P15" s="2">
        <v>-445</v>
      </c>
      <c r="Q15" s="2">
        <v>-585</v>
      </c>
      <c r="R15" s="43">
        <v>2</v>
      </c>
      <c r="S15" s="43">
        <v>4</v>
      </c>
      <c r="T15" s="43">
        <v>5</v>
      </c>
      <c r="U15" s="43">
        <v>7</v>
      </c>
      <c r="V15" s="43">
        <v>13</v>
      </c>
      <c r="W15" s="43">
        <v>19</v>
      </c>
    </row>
    <row r="16" spans="1:23" ht="15.6">
      <c r="A16" s="3" t="s">
        <v>12</v>
      </c>
      <c r="B16" s="3" t="s">
        <v>13</v>
      </c>
      <c r="C16" s="53"/>
      <c r="D16" s="50" t="s">
        <v>61</v>
      </c>
      <c r="E16" s="41"/>
      <c r="F16" s="45"/>
      <c r="G16" s="1">
        <v>-54</v>
      </c>
      <c r="H16" s="1">
        <v>-79</v>
      </c>
      <c r="I16" s="1">
        <v>-104</v>
      </c>
      <c r="J16" s="1">
        <v>-144</v>
      </c>
      <c r="K16" s="1">
        <v>-172</v>
      </c>
      <c r="L16" s="1">
        <v>-210</v>
      </c>
      <c r="M16" s="1">
        <v>-254</v>
      </c>
      <c r="N16" s="5">
        <v>-310</v>
      </c>
      <c r="O16" s="2">
        <v>-400</v>
      </c>
      <c r="P16" s="2">
        <v>-525</v>
      </c>
      <c r="Q16" s="2">
        <v>-690</v>
      </c>
      <c r="R16" s="43"/>
      <c r="S16" s="43"/>
      <c r="T16" s="43"/>
      <c r="U16" s="43"/>
      <c r="V16" s="43"/>
      <c r="W16" s="43"/>
    </row>
    <row r="17" spans="1:23" ht="15.6">
      <c r="A17" s="3" t="s">
        <v>13</v>
      </c>
      <c r="B17" s="3" t="s">
        <v>14</v>
      </c>
      <c r="C17" s="47" t="s">
        <v>362</v>
      </c>
      <c r="D17" s="49">
        <v>0</v>
      </c>
      <c r="E17" s="41"/>
      <c r="F17" s="49">
        <v>-43</v>
      </c>
      <c r="G17" s="1">
        <v>-63</v>
      </c>
      <c r="H17" s="1">
        <v>-92</v>
      </c>
      <c r="I17" s="1">
        <v>-122</v>
      </c>
      <c r="J17" s="1">
        <v>-170</v>
      </c>
      <c r="K17" s="1">
        <v>-202</v>
      </c>
      <c r="L17" s="1">
        <v>-248</v>
      </c>
      <c r="M17" s="1">
        <v>-300</v>
      </c>
      <c r="N17" s="5">
        <v>-365</v>
      </c>
      <c r="O17" s="2">
        <v>-470</v>
      </c>
      <c r="P17" s="2">
        <v>-620</v>
      </c>
      <c r="Q17" s="2">
        <v>-800</v>
      </c>
      <c r="R17" s="43">
        <v>3</v>
      </c>
      <c r="S17" s="43">
        <v>4</v>
      </c>
      <c r="T17" s="43">
        <v>6</v>
      </c>
      <c r="U17" s="43">
        <v>7</v>
      </c>
      <c r="V17" s="43">
        <v>15</v>
      </c>
      <c r="W17" s="43">
        <v>23</v>
      </c>
    </row>
    <row r="18" spans="1:23" ht="15.6">
      <c r="A18" s="3" t="s">
        <v>14</v>
      </c>
      <c r="B18" s="3" t="s">
        <v>15</v>
      </c>
      <c r="C18" s="48"/>
      <c r="D18" s="52" t="s">
        <v>32</v>
      </c>
      <c r="E18" s="41"/>
      <c r="F18" s="52"/>
      <c r="G18" s="1">
        <v>-65</v>
      </c>
      <c r="H18" s="1">
        <v>-100</v>
      </c>
      <c r="I18" s="1">
        <v>-134</v>
      </c>
      <c r="J18" s="1">
        <v>-190</v>
      </c>
      <c r="K18" s="1">
        <v>-228</v>
      </c>
      <c r="L18" s="1">
        <v>-280</v>
      </c>
      <c r="M18" s="1">
        <v>-340</v>
      </c>
      <c r="N18" s="5">
        <v>-415</v>
      </c>
      <c r="O18" s="2">
        <v>-535</v>
      </c>
      <c r="P18" s="2">
        <v>-700</v>
      </c>
      <c r="Q18" s="2">
        <v>-900</v>
      </c>
      <c r="R18" s="43"/>
      <c r="S18" s="43"/>
      <c r="T18" s="43"/>
      <c r="U18" s="43"/>
      <c r="V18" s="43"/>
      <c r="W18" s="43"/>
    </row>
    <row r="19" spans="1:23" ht="15.6">
      <c r="A19" s="3" t="s">
        <v>15</v>
      </c>
      <c r="B19" s="3" t="s">
        <v>16</v>
      </c>
      <c r="C19" s="48"/>
      <c r="D19" s="52" t="s">
        <v>35</v>
      </c>
      <c r="E19" s="41"/>
      <c r="F19" s="52"/>
      <c r="G19" s="1">
        <v>-68</v>
      </c>
      <c r="H19" s="1">
        <v>-108</v>
      </c>
      <c r="I19" s="1">
        <v>-146</v>
      </c>
      <c r="J19" s="1">
        <v>-210</v>
      </c>
      <c r="K19" s="1">
        <v>-252</v>
      </c>
      <c r="L19" s="1">
        <v>-310</v>
      </c>
      <c r="M19" s="1">
        <v>-380</v>
      </c>
      <c r="N19" s="5">
        <v>-465</v>
      </c>
      <c r="O19" s="2">
        <v>-600</v>
      </c>
      <c r="P19" s="2">
        <v>-780</v>
      </c>
      <c r="Q19" s="2">
        <v>-1000</v>
      </c>
      <c r="R19" s="43"/>
      <c r="S19" s="43"/>
      <c r="T19" s="43"/>
      <c r="U19" s="43"/>
      <c r="V19" s="43"/>
      <c r="W19" s="43"/>
    </row>
    <row r="20" spans="1:23" ht="15.6">
      <c r="A20" s="3" t="s">
        <v>16</v>
      </c>
      <c r="B20" s="3" t="s">
        <v>17</v>
      </c>
      <c r="C20" s="46" t="s">
        <v>363</v>
      </c>
      <c r="D20" s="49">
        <v>0</v>
      </c>
      <c r="E20" s="41"/>
      <c r="F20" s="49">
        <v>-50</v>
      </c>
      <c r="G20" s="1">
        <v>-77</v>
      </c>
      <c r="H20" s="1">
        <v>-122</v>
      </c>
      <c r="I20" s="1">
        <v>-166</v>
      </c>
      <c r="J20" s="1">
        <v>-236</v>
      </c>
      <c r="K20" s="1">
        <v>-284</v>
      </c>
      <c r="L20" s="1">
        <v>-350</v>
      </c>
      <c r="M20" s="1">
        <v>-425</v>
      </c>
      <c r="N20" s="5">
        <v>-520</v>
      </c>
      <c r="O20" s="2">
        <v>-670</v>
      </c>
      <c r="P20" s="2">
        <v>-880</v>
      </c>
      <c r="Q20" s="2">
        <v>-1125</v>
      </c>
      <c r="R20" s="43">
        <v>3</v>
      </c>
      <c r="S20" s="43">
        <v>4</v>
      </c>
      <c r="T20" s="43">
        <v>6</v>
      </c>
      <c r="U20" s="43">
        <v>9</v>
      </c>
      <c r="V20" s="43">
        <v>17</v>
      </c>
      <c r="W20" s="43">
        <v>26</v>
      </c>
    </row>
    <row r="21" spans="1:23" ht="15.6">
      <c r="A21" s="3" t="s">
        <v>17</v>
      </c>
      <c r="B21" s="3" t="s">
        <v>18</v>
      </c>
      <c r="C21" s="46"/>
      <c r="D21" s="52" t="s">
        <v>39</v>
      </c>
      <c r="E21" s="41"/>
      <c r="F21" s="52"/>
      <c r="G21" s="1">
        <v>-80</v>
      </c>
      <c r="H21" s="1">
        <v>-130</v>
      </c>
      <c r="I21" s="1">
        <v>-180</v>
      </c>
      <c r="J21" s="1">
        <v>-258</v>
      </c>
      <c r="K21" s="1">
        <v>-310</v>
      </c>
      <c r="L21" s="1">
        <v>-385</v>
      </c>
      <c r="M21" s="1">
        <v>-470</v>
      </c>
      <c r="N21" s="5">
        <v>-575</v>
      </c>
      <c r="O21" s="2">
        <v>-740</v>
      </c>
      <c r="P21" s="2">
        <v>-960</v>
      </c>
      <c r="Q21" s="2">
        <v>-1250</v>
      </c>
      <c r="R21" s="43"/>
      <c r="S21" s="43"/>
      <c r="T21" s="43"/>
      <c r="U21" s="43"/>
      <c r="V21" s="43"/>
      <c r="W21" s="43"/>
    </row>
    <row r="22" spans="1:23" ht="15.6">
      <c r="A22" s="3" t="s">
        <v>18</v>
      </c>
      <c r="B22" s="3" t="s">
        <v>19</v>
      </c>
      <c r="C22" s="46"/>
      <c r="D22" s="52" t="s">
        <v>63</v>
      </c>
      <c r="E22" s="41"/>
      <c r="F22" s="52"/>
      <c r="G22" s="1">
        <v>-84</v>
      </c>
      <c r="H22" s="1">
        <v>-140</v>
      </c>
      <c r="I22" s="1">
        <v>-196</v>
      </c>
      <c r="J22" s="1">
        <v>-284</v>
      </c>
      <c r="K22" s="1">
        <v>-340</v>
      </c>
      <c r="L22" s="1">
        <v>-425</v>
      </c>
      <c r="M22" s="1">
        <v>-520</v>
      </c>
      <c r="N22" s="5">
        <v>-640</v>
      </c>
      <c r="O22" s="2">
        <v>-820</v>
      </c>
      <c r="P22" s="2">
        <v>-1050</v>
      </c>
      <c r="Q22" s="2">
        <v>-1350</v>
      </c>
      <c r="R22" s="43"/>
      <c r="S22" s="43"/>
      <c r="T22" s="43"/>
      <c r="U22" s="43"/>
      <c r="V22" s="43"/>
      <c r="W22" s="43"/>
    </row>
    <row r="23" spans="1:23" ht="15.6">
      <c r="A23" s="3" t="s">
        <v>19</v>
      </c>
      <c r="B23" s="3" t="s">
        <v>20</v>
      </c>
      <c r="C23" s="47" t="s">
        <v>364</v>
      </c>
      <c r="D23" s="49">
        <v>0</v>
      </c>
      <c r="E23" s="41"/>
      <c r="F23" s="45">
        <v>-56</v>
      </c>
      <c r="G23" s="1">
        <v>-94</v>
      </c>
      <c r="H23" s="1">
        <v>-158</v>
      </c>
      <c r="I23" s="1">
        <v>-218</v>
      </c>
      <c r="J23" s="1">
        <v>-315</v>
      </c>
      <c r="K23" s="1">
        <v>-385</v>
      </c>
      <c r="L23" s="1">
        <v>-470</v>
      </c>
      <c r="M23" s="1">
        <v>-580</v>
      </c>
      <c r="N23" s="5">
        <v>-710</v>
      </c>
      <c r="O23" s="2">
        <v>-920</v>
      </c>
      <c r="P23" s="2">
        <v>-1200</v>
      </c>
      <c r="Q23" s="2">
        <v>-1550</v>
      </c>
      <c r="R23" s="43">
        <v>4</v>
      </c>
      <c r="S23" s="43">
        <v>4</v>
      </c>
      <c r="T23" s="43">
        <v>7</v>
      </c>
      <c r="U23" s="43">
        <v>9</v>
      </c>
      <c r="V23" s="43">
        <v>20</v>
      </c>
      <c r="W23" s="43">
        <v>29</v>
      </c>
    </row>
    <row r="24" spans="1:23" ht="15.6">
      <c r="A24" s="3" t="s">
        <v>20</v>
      </c>
      <c r="B24" s="3" t="s">
        <v>21</v>
      </c>
      <c r="C24" s="53"/>
      <c r="D24" s="50" t="s">
        <v>65</v>
      </c>
      <c r="E24" s="41"/>
      <c r="F24" s="45"/>
      <c r="G24" s="1">
        <v>-98</v>
      </c>
      <c r="H24" s="1">
        <v>-170</v>
      </c>
      <c r="I24" s="1">
        <v>-240</v>
      </c>
      <c r="J24" s="1">
        <v>-350</v>
      </c>
      <c r="K24" s="1">
        <v>-425</v>
      </c>
      <c r="L24" s="1">
        <v>-520</v>
      </c>
      <c r="M24" s="1">
        <v>-650</v>
      </c>
      <c r="N24" s="5">
        <v>-790</v>
      </c>
      <c r="O24" s="2">
        <v>-1000</v>
      </c>
      <c r="P24" s="2">
        <v>-1300</v>
      </c>
      <c r="Q24" s="2">
        <v>-1700</v>
      </c>
      <c r="R24" s="43"/>
      <c r="S24" s="43"/>
      <c r="T24" s="43"/>
      <c r="U24" s="43"/>
      <c r="V24" s="43"/>
      <c r="W24" s="43"/>
    </row>
    <row r="25" spans="1:23" ht="15.6">
      <c r="A25" s="3" t="s">
        <v>21</v>
      </c>
      <c r="B25" s="3" t="s">
        <v>22</v>
      </c>
      <c r="C25" s="47" t="s">
        <v>365</v>
      </c>
      <c r="D25" s="49">
        <v>0</v>
      </c>
      <c r="E25" s="41"/>
      <c r="F25" s="45">
        <v>-62</v>
      </c>
      <c r="G25" s="1">
        <v>-108</v>
      </c>
      <c r="H25" s="1">
        <v>-190</v>
      </c>
      <c r="I25" s="1">
        <v>-268</v>
      </c>
      <c r="J25" s="1">
        <v>-390</v>
      </c>
      <c r="K25" s="1">
        <v>-475</v>
      </c>
      <c r="L25" s="1">
        <v>-580</v>
      </c>
      <c r="M25" s="1">
        <v>-730</v>
      </c>
      <c r="N25" s="5">
        <v>-900</v>
      </c>
      <c r="O25" s="2">
        <v>-1150</v>
      </c>
      <c r="P25" s="2">
        <v>-1500</v>
      </c>
      <c r="Q25" s="2">
        <v>-1900</v>
      </c>
      <c r="R25" s="43">
        <v>4</v>
      </c>
      <c r="S25" s="43">
        <v>5</v>
      </c>
      <c r="T25" s="43">
        <v>7</v>
      </c>
      <c r="U25" s="43">
        <v>11</v>
      </c>
      <c r="V25" s="43">
        <v>21</v>
      </c>
      <c r="W25" s="43">
        <v>32</v>
      </c>
    </row>
    <row r="26" spans="1:23" ht="15.6">
      <c r="A26" s="3" t="s">
        <v>22</v>
      </c>
      <c r="B26" s="3" t="s">
        <v>23</v>
      </c>
      <c r="C26" s="53"/>
      <c r="D26" s="50" t="s">
        <v>67</v>
      </c>
      <c r="E26" s="41"/>
      <c r="F26" s="45"/>
      <c r="G26" s="1">
        <v>-114</v>
      </c>
      <c r="H26" s="1">
        <v>-208</v>
      </c>
      <c r="I26" s="1">
        <v>-294</v>
      </c>
      <c r="J26" s="1">
        <v>-435</v>
      </c>
      <c r="K26" s="1">
        <v>-530</v>
      </c>
      <c r="L26" s="1">
        <v>-660</v>
      </c>
      <c r="M26" s="1">
        <v>-820</v>
      </c>
      <c r="N26" s="5">
        <v>-100</v>
      </c>
      <c r="O26" s="2">
        <f>--1300</f>
        <v>1300</v>
      </c>
      <c r="P26" s="2">
        <v>-1650</v>
      </c>
      <c r="Q26" s="2">
        <v>-2100</v>
      </c>
      <c r="R26" s="43"/>
      <c r="S26" s="43"/>
      <c r="T26" s="43"/>
      <c r="U26" s="43"/>
      <c r="V26" s="43"/>
      <c r="W26" s="43"/>
    </row>
    <row r="27" spans="1:23" ht="15.6">
      <c r="A27" s="3" t="s">
        <v>23</v>
      </c>
      <c r="B27" s="3" t="s">
        <v>24</v>
      </c>
      <c r="C27" s="47" t="s">
        <v>366</v>
      </c>
      <c r="D27" s="49">
        <v>0</v>
      </c>
      <c r="E27" s="41"/>
      <c r="F27" s="45">
        <v>-68</v>
      </c>
      <c r="G27" s="1">
        <v>-126</v>
      </c>
      <c r="H27" s="1">
        <v>-232</v>
      </c>
      <c r="I27" s="1">
        <v>-330</v>
      </c>
      <c r="J27" s="1">
        <v>-490</v>
      </c>
      <c r="K27" s="1">
        <v>-595</v>
      </c>
      <c r="L27" s="1">
        <v>-740</v>
      </c>
      <c r="M27" s="1">
        <v>-920</v>
      </c>
      <c r="N27" s="5">
        <v>-1100</v>
      </c>
      <c r="O27" s="2">
        <v>-1450</v>
      </c>
      <c r="P27" s="2">
        <v>-1850</v>
      </c>
      <c r="Q27" s="2">
        <v>-2400</v>
      </c>
      <c r="R27" s="43">
        <v>5</v>
      </c>
      <c r="S27" s="43">
        <v>5</v>
      </c>
      <c r="T27" s="43">
        <v>7</v>
      </c>
      <c r="U27" s="43">
        <v>13</v>
      </c>
      <c r="V27" s="43">
        <v>23</v>
      </c>
      <c r="W27" s="43">
        <v>34</v>
      </c>
    </row>
    <row r="28" spans="1:23" ht="15.6">
      <c r="A28" s="3" t="s">
        <v>24</v>
      </c>
      <c r="B28" s="3" t="s">
        <v>25</v>
      </c>
      <c r="C28" s="53"/>
      <c r="D28" s="50" t="s">
        <v>69</v>
      </c>
      <c r="E28" s="41"/>
      <c r="F28" s="45"/>
      <c r="G28" s="1">
        <v>-132</v>
      </c>
      <c r="H28" s="1">
        <v>-252</v>
      </c>
      <c r="I28" s="1">
        <v>-360</v>
      </c>
      <c r="J28" s="1">
        <v>-540</v>
      </c>
      <c r="K28" s="1">
        <v>-660</v>
      </c>
      <c r="L28" s="1">
        <v>-820</v>
      </c>
      <c r="M28" s="1">
        <v>-1000</v>
      </c>
      <c r="N28" s="5">
        <v>-1250</v>
      </c>
      <c r="O28" s="2">
        <v>-1600</v>
      </c>
      <c r="P28" s="2">
        <v>-2100</v>
      </c>
      <c r="Q28" s="2">
        <v>-2600</v>
      </c>
      <c r="R28" s="43"/>
      <c r="S28" s="43"/>
      <c r="T28" s="43"/>
      <c r="U28" s="43"/>
      <c r="V28" s="43"/>
      <c r="W28" s="43"/>
    </row>
    <row r="29" spans="1:23" ht="15.6">
      <c r="A29" s="3" t="s">
        <v>25</v>
      </c>
      <c r="B29" s="3" t="s">
        <v>26</v>
      </c>
      <c r="C29" s="46">
        <v>-44</v>
      </c>
      <c r="D29" s="45"/>
      <c r="E29" s="41"/>
      <c r="F29" s="45">
        <v>-78</v>
      </c>
      <c r="G29" s="1">
        <v>-150</v>
      </c>
      <c r="H29" s="1">
        <v>-280</v>
      </c>
      <c r="I29" s="1">
        <v>-400</v>
      </c>
      <c r="J29" s="1">
        <v>-600</v>
      </c>
      <c r="K29" s="49"/>
      <c r="L29" s="49"/>
      <c r="M29" s="49"/>
      <c r="N29" s="49"/>
      <c r="O29" s="49"/>
      <c r="P29" s="49"/>
      <c r="Q29" s="49"/>
      <c r="R29" s="43"/>
      <c r="S29" s="43"/>
      <c r="T29" s="43"/>
      <c r="U29" s="43"/>
      <c r="V29" s="43"/>
      <c r="W29" s="43"/>
    </row>
    <row r="30" spans="1:23" ht="15.6">
      <c r="A30" s="3" t="s">
        <v>26</v>
      </c>
      <c r="B30" s="3" t="s">
        <v>27</v>
      </c>
      <c r="C30" s="46"/>
      <c r="D30" s="45"/>
      <c r="E30" s="41"/>
      <c r="F30" s="45"/>
      <c r="G30" s="1">
        <v>-155</v>
      </c>
      <c r="H30" s="1">
        <v>-310</v>
      </c>
      <c r="I30" s="1">
        <v>-450</v>
      </c>
      <c r="J30" s="1">
        <v>-660</v>
      </c>
      <c r="K30" s="50"/>
      <c r="L30" s="50"/>
      <c r="M30" s="50"/>
      <c r="N30" s="50"/>
      <c r="O30" s="50"/>
      <c r="P30" s="50"/>
      <c r="Q30" s="50"/>
      <c r="R30" s="43"/>
      <c r="S30" s="43"/>
      <c r="T30" s="43"/>
      <c r="U30" s="43"/>
      <c r="V30" s="43"/>
      <c r="W30" s="43"/>
    </row>
    <row r="31" spans="1:23" ht="15.6">
      <c r="A31" s="3" t="s">
        <v>27</v>
      </c>
      <c r="B31" s="3" t="s">
        <v>28</v>
      </c>
      <c r="C31" s="46">
        <v>-50</v>
      </c>
      <c r="D31" s="45"/>
      <c r="E31" s="41"/>
      <c r="F31" s="45">
        <v>-88</v>
      </c>
      <c r="G31" s="1">
        <v>-175</v>
      </c>
      <c r="H31" s="1">
        <v>-340</v>
      </c>
      <c r="I31" s="1">
        <v>-500</v>
      </c>
      <c r="J31" s="1">
        <v>-740</v>
      </c>
      <c r="K31" s="45"/>
      <c r="L31" s="45"/>
      <c r="M31" s="45"/>
      <c r="N31" s="45"/>
      <c r="O31" s="45"/>
      <c r="P31" s="45"/>
      <c r="Q31" s="45"/>
      <c r="R31" s="43"/>
      <c r="S31" s="43"/>
      <c r="T31" s="43"/>
      <c r="U31" s="43"/>
      <c r="V31" s="43"/>
      <c r="W31" s="43"/>
    </row>
    <row r="32" spans="1:23" ht="15.6">
      <c r="A32" s="3" t="s">
        <v>28</v>
      </c>
      <c r="B32" s="3" t="s">
        <v>29</v>
      </c>
      <c r="C32" s="46"/>
      <c r="D32" s="45"/>
      <c r="E32" s="41"/>
      <c r="F32" s="45"/>
      <c r="G32" s="1">
        <v>-18</v>
      </c>
      <c r="H32" s="1">
        <v>-380</v>
      </c>
      <c r="I32" s="1">
        <v>-560</v>
      </c>
      <c r="J32" s="1">
        <v>-840</v>
      </c>
      <c r="K32" s="45"/>
      <c r="L32" s="45"/>
      <c r="M32" s="45"/>
      <c r="N32" s="45"/>
      <c r="O32" s="45"/>
      <c r="P32" s="45"/>
      <c r="Q32" s="45"/>
      <c r="R32" s="43"/>
      <c r="S32" s="43"/>
      <c r="T32" s="43"/>
      <c r="U32" s="43"/>
      <c r="V32" s="43"/>
      <c r="W32" s="43"/>
    </row>
    <row r="33" spans="1:23" ht="15.6">
      <c r="A33" s="3" t="s">
        <v>29</v>
      </c>
      <c r="B33" s="3" t="s">
        <v>30</v>
      </c>
      <c r="C33" s="46">
        <v>-56</v>
      </c>
      <c r="D33" s="45"/>
      <c r="E33" s="41"/>
      <c r="F33" s="45">
        <v>-100</v>
      </c>
      <c r="G33" s="1">
        <v>-210</v>
      </c>
      <c r="H33" s="1">
        <v>-430</v>
      </c>
      <c r="I33" s="1">
        <v>-620</v>
      </c>
      <c r="J33" s="1">
        <v>-940</v>
      </c>
      <c r="K33" s="45"/>
      <c r="L33" s="45"/>
      <c r="M33" s="45"/>
      <c r="N33" s="45"/>
      <c r="O33" s="45"/>
      <c r="P33" s="45"/>
      <c r="Q33" s="45"/>
      <c r="R33" s="43"/>
      <c r="S33" s="43"/>
      <c r="T33" s="43"/>
      <c r="U33" s="43"/>
      <c r="V33" s="43"/>
      <c r="W33" s="43"/>
    </row>
    <row r="34" spans="1:23" ht="15.6">
      <c r="A34" s="3" t="s">
        <v>30</v>
      </c>
      <c r="B34" s="3">
        <v>1000</v>
      </c>
      <c r="C34" s="46"/>
      <c r="D34" s="45"/>
      <c r="E34" s="41"/>
      <c r="F34" s="45"/>
      <c r="G34" s="1">
        <v>-220</v>
      </c>
      <c r="H34" s="1">
        <v>-470</v>
      </c>
      <c r="I34" s="1">
        <v>-680</v>
      </c>
      <c r="J34" s="1">
        <v>-1050</v>
      </c>
      <c r="K34" s="45"/>
      <c r="L34" s="45"/>
      <c r="M34" s="45"/>
      <c r="N34" s="45"/>
      <c r="O34" s="45"/>
      <c r="P34" s="45"/>
      <c r="Q34" s="45"/>
      <c r="R34" s="43"/>
      <c r="S34" s="43"/>
      <c r="T34" s="43"/>
      <c r="U34" s="43"/>
      <c r="V34" s="43"/>
      <c r="W34" s="43"/>
    </row>
    <row r="35" spans="1:23" ht="15.6">
      <c r="A35" s="3">
        <v>1000</v>
      </c>
      <c r="B35" s="3">
        <v>1120</v>
      </c>
      <c r="C35" s="46">
        <v>-66</v>
      </c>
      <c r="D35" s="45"/>
      <c r="E35" s="41"/>
      <c r="F35" s="45">
        <v>-120</v>
      </c>
      <c r="G35" s="1">
        <v>-250</v>
      </c>
      <c r="H35" s="1">
        <v>-520</v>
      </c>
      <c r="I35" s="1">
        <v>-780</v>
      </c>
      <c r="J35" s="1">
        <v>-1150</v>
      </c>
      <c r="K35" s="45"/>
      <c r="L35" s="45"/>
      <c r="M35" s="45"/>
      <c r="N35" s="45"/>
      <c r="O35" s="45"/>
      <c r="P35" s="45"/>
      <c r="Q35" s="45"/>
      <c r="R35" s="43"/>
      <c r="S35" s="43"/>
      <c r="T35" s="43"/>
      <c r="U35" s="43"/>
      <c r="V35" s="43"/>
      <c r="W35" s="43"/>
    </row>
    <row r="36" spans="1:23" ht="15.6">
      <c r="A36" s="3">
        <v>1120</v>
      </c>
      <c r="B36" s="3">
        <v>1250</v>
      </c>
      <c r="C36" s="46"/>
      <c r="D36" s="45"/>
      <c r="E36" s="41"/>
      <c r="F36" s="45"/>
      <c r="G36" s="1">
        <v>-260</v>
      </c>
      <c r="H36" s="1">
        <v>-580</v>
      </c>
      <c r="I36" s="1">
        <v>-840</v>
      </c>
      <c r="J36" s="1">
        <v>-1300</v>
      </c>
      <c r="K36" s="45"/>
      <c r="L36" s="45"/>
      <c r="M36" s="45"/>
      <c r="N36" s="45"/>
      <c r="O36" s="45"/>
      <c r="P36" s="45"/>
      <c r="Q36" s="45"/>
      <c r="R36" s="43"/>
      <c r="S36" s="43"/>
      <c r="T36" s="43"/>
      <c r="U36" s="43"/>
      <c r="V36" s="43"/>
      <c r="W36" s="43"/>
    </row>
    <row r="37" spans="1:23" ht="15.6">
      <c r="A37" s="3">
        <v>1250</v>
      </c>
      <c r="B37" s="3">
        <v>1400</v>
      </c>
      <c r="C37" s="46">
        <v>-78</v>
      </c>
      <c r="D37" s="45"/>
      <c r="E37" s="41"/>
      <c r="F37" s="45">
        <v>-140</v>
      </c>
      <c r="G37" s="1">
        <v>-300</v>
      </c>
      <c r="H37" s="1">
        <v>-640</v>
      </c>
      <c r="I37" s="1">
        <v>-960</v>
      </c>
      <c r="J37" s="1">
        <v>-1450</v>
      </c>
      <c r="K37" s="45"/>
      <c r="L37" s="45"/>
      <c r="M37" s="45"/>
      <c r="N37" s="45"/>
      <c r="O37" s="45"/>
      <c r="P37" s="45"/>
      <c r="Q37" s="45"/>
      <c r="R37" s="43"/>
      <c r="S37" s="43"/>
      <c r="T37" s="43"/>
      <c r="U37" s="43"/>
      <c r="V37" s="43"/>
      <c r="W37" s="43"/>
    </row>
    <row r="38" spans="1:23" ht="15.6">
      <c r="A38" s="3">
        <v>1400</v>
      </c>
      <c r="B38" s="3">
        <v>1600</v>
      </c>
      <c r="C38" s="46"/>
      <c r="D38" s="45"/>
      <c r="E38" s="41"/>
      <c r="F38" s="45"/>
      <c r="G38" s="1">
        <v>-330</v>
      </c>
      <c r="H38" s="1">
        <v>-720</v>
      </c>
      <c r="I38" s="1">
        <v>-1050</v>
      </c>
      <c r="J38" s="1">
        <v>-1600</v>
      </c>
      <c r="K38" s="45"/>
      <c r="L38" s="45"/>
      <c r="M38" s="45"/>
      <c r="N38" s="45"/>
      <c r="O38" s="45"/>
      <c r="P38" s="45"/>
      <c r="Q38" s="45"/>
      <c r="R38" s="43"/>
      <c r="S38" s="43"/>
      <c r="T38" s="43"/>
      <c r="U38" s="43"/>
      <c r="V38" s="43"/>
      <c r="W38" s="43"/>
    </row>
    <row r="39" spans="1:23" ht="15.6">
      <c r="A39" s="3">
        <v>1600</v>
      </c>
      <c r="B39" s="3">
        <v>1800</v>
      </c>
      <c r="C39" s="46">
        <v>-92</v>
      </c>
      <c r="D39" s="45"/>
      <c r="E39" s="41"/>
      <c r="F39" s="45">
        <v>-170</v>
      </c>
      <c r="G39" s="1">
        <v>-370</v>
      </c>
      <c r="H39" s="1">
        <v>-820</v>
      </c>
      <c r="I39" s="1">
        <v>-1200</v>
      </c>
      <c r="J39" s="1">
        <v>-1850</v>
      </c>
      <c r="K39" s="45"/>
      <c r="L39" s="45"/>
      <c r="M39" s="45"/>
      <c r="N39" s="45"/>
      <c r="O39" s="45"/>
      <c r="P39" s="45"/>
      <c r="Q39" s="45"/>
      <c r="R39" s="43"/>
      <c r="S39" s="43"/>
      <c r="T39" s="43"/>
      <c r="U39" s="43"/>
      <c r="V39" s="43"/>
      <c r="W39" s="43"/>
    </row>
    <row r="40" spans="1:23" ht="15.6">
      <c r="A40" s="3">
        <v>1800</v>
      </c>
      <c r="B40" s="3">
        <v>2000</v>
      </c>
      <c r="C40" s="46"/>
      <c r="D40" s="45"/>
      <c r="E40" s="41"/>
      <c r="F40" s="45"/>
      <c r="G40" s="1">
        <v>-400</v>
      </c>
      <c r="H40" s="1">
        <v>-920</v>
      </c>
      <c r="I40" s="1">
        <v>-1350</v>
      </c>
      <c r="J40" s="1">
        <v>-2000</v>
      </c>
      <c r="K40" s="45"/>
      <c r="L40" s="45"/>
      <c r="M40" s="45"/>
      <c r="N40" s="45"/>
      <c r="O40" s="45"/>
      <c r="P40" s="45"/>
      <c r="Q40" s="45"/>
      <c r="R40" s="43"/>
      <c r="S40" s="43"/>
      <c r="T40" s="43"/>
      <c r="U40" s="43"/>
      <c r="V40" s="43"/>
      <c r="W40" s="43"/>
    </row>
    <row r="41" spans="1:23" ht="15.6">
      <c r="A41" s="3">
        <v>2000</v>
      </c>
      <c r="B41" s="3">
        <v>2240</v>
      </c>
      <c r="C41" s="46">
        <v>-110</v>
      </c>
      <c r="D41" s="45"/>
      <c r="E41" s="41"/>
      <c r="F41" s="45">
        <v>-195</v>
      </c>
      <c r="G41" s="1">
        <v>-440</v>
      </c>
      <c r="H41" s="1">
        <v>-1000</v>
      </c>
      <c r="I41" s="1">
        <v>-1500</v>
      </c>
      <c r="J41" s="1">
        <v>-2300</v>
      </c>
      <c r="K41" s="45"/>
      <c r="L41" s="45"/>
      <c r="M41" s="45"/>
      <c r="N41" s="45"/>
      <c r="O41" s="45"/>
      <c r="P41" s="45"/>
      <c r="Q41" s="45"/>
      <c r="R41" s="43"/>
      <c r="S41" s="43"/>
      <c r="T41" s="43"/>
      <c r="U41" s="43"/>
      <c r="V41" s="43"/>
      <c r="W41" s="43"/>
    </row>
    <row r="42" spans="1:23" ht="15.6">
      <c r="A42" s="3">
        <v>2240</v>
      </c>
      <c r="B42" s="3">
        <v>2500</v>
      </c>
      <c r="C42" s="46"/>
      <c r="D42" s="45"/>
      <c r="E42" s="41"/>
      <c r="F42" s="45"/>
      <c r="G42" s="1">
        <v>-460</v>
      </c>
      <c r="H42" s="1">
        <v>-1100</v>
      </c>
      <c r="I42" s="1">
        <v>-1650</v>
      </c>
      <c r="J42" s="1">
        <v>-2500</v>
      </c>
      <c r="K42" s="45"/>
      <c r="L42" s="45"/>
      <c r="M42" s="45"/>
      <c r="N42" s="45"/>
      <c r="O42" s="45"/>
      <c r="P42" s="45"/>
      <c r="Q42" s="45"/>
      <c r="R42" s="43"/>
      <c r="S42" s="43"/>
      <c r="T42" s="43"/>
      <c r="U42" s="43"/>
      <c r="V42" s="43"/>
      <c r="W42" s="43"/>
    </row>
    <row r="43" spans="1:23" ht="15.6">
      <c r="A43" s="3">
        <v>2500</v>
      </c>
      <c r="B43" s="3">
        <v>2800</v>
      </c>
      <c r="C43" s="46">
        <v>-135</v>
      </c>
      <c r="D43" s="45"/>
      <c r="E43" s="41"/>
      <c r="F43" s="45">
        <v>-240</v>
      </c>
      <c r="G43" s="1">
        <v>-550</v>
      </c>
      <c r="H43" s="1">
        <v>-1250</v>
      </c>
      <c r="I43" s="1">
        <v>-1900</v>
      </c>
      <c r="J43" s="1">
        <v>-2900</v>
      </c>
      <c r="K43" s="45"/>
      <c r="L43" s="45"/>
      <c r="M43" s="45"/>
      <c r="N43" s="45"/>
      <c r="O43" s="45"/>
      <c r="P43" s="45"/>
      <c r="Q43" s="45"/>
      <c r="R43" s="43"/>
      <c r="S43" s="43"/>
      <c r="T43" s="43"/>
      <c r="U43" s="43"/>
      <c r="V43" s="43"/>
      <c r="W43" s="43"/>
    </row>
    <row r="44" spans="1:23" ht="15.6">
      <c r="A44" s="3">
        <v>2800</v>
      </c>
      <c r="B44" s="3">
        <v>3150</v>
      </c>
      <c r="C44" s="46"/>
      <c r="D44" s="45"/>
      <c r="E44" s="42"/>
      <c r="F44" s="45"/>
      <c r="G44" s="1">
        <v>-580</v>
      </c>
      <c r="H44" s="1">
        <v>-1400</v>
      </c>
      <c r="I44" s="1">
        <v>-2100</v>
      </c>
      <c r="J44" s="1">
        <v>-3200</v>
      </c>
      <c r="K44" s="45"/>
      <c r="L44" s="45"/>
      <c r="M44" s="45"/>
      <c r="N44" s="45"/>
      <c r="O44" s="45"/>
      <c r="P44" s="45"/>
      <c r="Q44" s="45"/>
      <c r="R44" s="43"/>
      <c r="S44" s="43"/>
      <c r="T44" s="43"/>
      <c r="U44" s="43"/>
      <c r="V44" s="43"/>
      <c r="W44" s="43"/>
    </row>
    <row r="45" spans="1:23">
      <c r="A45" s="44" t="s">
        <v>367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 spans="1:2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</sheetData>
  <mergeCells count="235">
    <mergeCell ref="F15:F16"/>
    <mergeCell ref="F17:F19"/>
    <mergeCell ref="A1:B1"/>
    <mergeCell ref="A2:A3"/>
    <mergeCell ref="B2:B3"/>
    <mergeCell ref="C7:C8"/>
    <mergeCell ref="D7:D8"/>
    <mergeCell ref="F7:F8"/>
    <mergeCell ref="G7:G8"/>
    <mergeCell ref="C3:D3"/>
    <mergeCell ref="F2:Q2"/>
    <mergeCell ref="C1:Q1"/>
    <mergeCell ref="D9:D10"/>
    <mergeCell ref="F9:F10"/>
    <mergeCell ref="G9:G10"/>
    <mergeCell ref="H9:H10"/>
    <mergeCell ref="I7:I8"/>
    <mergeCell ref="J7:J8"/>
    <mergeCell ref="R15:R16"/>
    <mergeCell ref="S15:S16"/>
    <mergeCell ref="O29:O30"/>
    <mergeCell ref="P29:P30"/>
    <mergeCell ref="Q29:Q30"/>
    <mergeCell ref="R29:R30"/>
    <mergeCell ref="S29:S30"/>
    <mergeCell ref="R1:W2"/>
    <mergeCell ref="V7:V8"/>
    <mergeCell ref="W7:W8"/>
    <mergeCell ref="T9:T10"/>
    <mergeCell ref="U9:U10"/>
    <mergeCell ref="S7:S8"/>
    <mergeCell ref="T7:T8"/>
    <mergeCell ref="U7:U8"/>
    <mergeCell ref="S17:S19"/>
    <mergeCell ref="T17:T19"/>
    <mergeCell ref="U17:U19"/>
    <mergeCell ref="T11:T12"/>
    <mergeCell ref="U11:U12"/>
    <mergeCell ref="F13:F14"/>
    <mergeCell ref="R13:R14"/>
    <mergeCell ref="S13:S14"/>
    <mergeCell ref="T13:T14"/>
    <mergeCell ref="U13:U14"/>
    <mergeCell ref="F11:F12"/>
    <mergeCell ref="G11:G12"/>
    <mergeCell ref="H11:H12"/>
    <mergeCell ref="R11:R12"/>
    <mergeCell ref="S11:S12"/>
    <mergeCell ref="T15:T16"/>
    <mergeCell ref="U15:U16"/>
    <mergeCell ref="R17:R19"/>
    <mergeCell ref="R9:R10"/>
    <mergeCell ref="S9:S10"/>
    <mergeCell ref="H7:H8"/>
    <mergeCell ref="R7:R8"/>
    <mergeCell ref="U31:U32"/>
    <mergeCell ref="N29:N30"/>
    <mergeCell ref="C29:C30"/>
    <mergeCell ref="D29:D30"/>
    <mergeCell ref="F29:F30"/>
    <mergeCell ref="K29:K30"/>
    <mergeCell ref="L29:L30"/>
    <mergeCell ref="M29:M30"/>
    <mergeCell ref="F20:F22"/>
    <mergeCell ref="C23:C24"/>
    <mergeCell ref="C25:C26"/>
    <mergeCell ref="U29:U30"/>
    <mergeCell ref="R37:R38"/>
    <mergeCell ref="S37:S38"/>
    <mergeCell ref="T37:T38"/>
    <mergeCell ref="U37:U38"/>
    <mergeCell ref="L39:L40"/>
    <mergeCell ref="M39:M40"/>
    <mergeCell ref="O39:O40"/>
    <mergeCell ref="P39:P40"/>
    <mergeCell ref="Q39:Q40"/>
    <mergeCell ref="S39:S40"/>
    <mergeCell ref="T39:T40"/>
    <mergeCell ref="U39:U40"/>
    <mergeCell ref="C27:C28"/>
    <mergeCell ref="F27:F28"/>
    <mergeCell ref="R27:R28"/>
    <mergeCell ref="S27:S28"/>
    <mergeCell ref="T27:T28"/>
    <mergeCell ref="U27:U28"/>
    <mergeCell ref="T35:T36"/>
    <mergeCell ref="U35:U36"/>
    <mergeCell ref="K43:K44"/>
    <mergeCell ref="L43:L44"/>
    <mergeCell ref="M43:M44"/>
    <mergeCell ref="C41:C42"/>
    <mergeCell ref="D41:D42"/>
    <mergeCell ref="F41:F42"/>
    <mergeCell ref="U41:U42"/>
    <mergeCell ref="K41:K42"/>
    <mergeCell ref="L41:L42"/>
    <mergeCell ref="M41:M42"/>
    <mergeCell ref="O41:O42"/>
    <mergeCell ref="P41:P42"/>
    <mergeCell ref="Q41:Q42"/>
    <mergeCell ref="R41:R42"/>
    <mergeCell ref="S41:S42"/>
    <mergeCell ref="T41:T42"/>
    <mergeCell ref="D39:D40"/>
    <mergeCell ref="T25:T26"/>
    <mergeCell ref="U25:U26"/>
    <mergeCell ref="F25:F26"/>
    <mergeCell ref="R20:R22"/>
    <mergeCell ref="S20:S22"/>
    <mergeCell ref="R25:R26"/>
    <mergeCell ref="S25:S26"/>
    <mergeCell ref="T20:T22"/>
    <mergeCell ref="U20:U22"/>
    <mergeCell ref="F23:F24"/>
    <mergeCell ref="R23:R24"/>
    <mergeCell ref="S23:S24"/>
    <mergeCell ref="T23:T24"/>
    <mergeCell ref="U23:U24"/>
    <mergeCell ref="F39:F40"/>
    <mergeCell ref="K39:K40"/>
    <mergeCell ref="F37:F38"/>
    <mergeCell ref="K37:K38"/>
    <mergeCell ref="L37:L38"/>
    <mergeCell ref="M37:M38"/>
    <mergeCell ref="O37:O38"/>
    <mergeCell ref="P37:P38"/>
    <mergeCell ref="Q37:Q38"/>
    <mergeCell ref="C17:C19"/>
    <mergeCell ref="C20:C22"/>
    <mergeCell ref="D13:D14"/>
    <mergeCell ref="E4:E44"/>
    <mergeCell ref="D11:D12"/>
    <mergeCell ref="D15:D16"/>
    <mergeCell ref="D17:D19"/>
    <mergeCell ref="D27:D28"/>
    <mergeCell ref="C37:C38"/>
    <mergeCell ref="D37:D38"/>
    <mergeCell ref="C35:C36"/>
    <mergeCell ref="D35:D36"/>
    <mergeCell ref="C33:C34"/>
    <mergeCell ref="D33:D34"/>
    <mergeCell ref="D20:D22"/>
    <mergeCell ref="D23:D24"/>
    <mergeCell ref="D25:D26"/>
    <mergeCell ref="C11:C12"/>
    <mergeCell ref="C13:C14"/>
    <mergeCell ref="C15:C16"/>
    <mergeCell ref="C31:C32"/>
    <mergeCell ref="D31:D32"/>
    <mergeCell ref="C9:C10"/>
    <mergeCell ref="C39:C40"/>
    <mergeCell ref="V9:V10"/>
    <mergeCell ref="W9:W10"/>
    <mergeCell ref="V11:V12"/>
    <mergeCell ref="W11:W12"/>
    <mergeCell ref="V13:V14"/>
    <mergeCell ref="W13:W14"/>
    <mergeCell ref="V15:V16"/>
    <mergeCell ref="W15:W16"/>
    <mergeCell ref="V17:V19"/>
    <mergeCell ref="W17:W19"/>
    <mergeCell ref="V20:V22"/>
    <mergeCell ref="W20:W22"/>
    <mergeCell ref="V23:V24"/>
    <mergeCell ref="W23:W24"/>
    <mergeCell ref="V25:V26"/>
    <mergeCell ref="W25:W26"/>
    <mergeCell ref="V27:V28"/>
    <mergeCell ref="W27:W28"/>
    <mergeCell ref="V29:V30"/>
    <mergeCell ref="W29:W30"/>
    <mergeCell ref="V31:V32"/>
    <mergeCell ref="W31:W32"/>
    <mergeCell ref="V33:V34"/>
    <mergeCell ref="W33:W34"/>
    <mergeCell ref="V35:V36"/>
    <mergeCell ref="W35:W36"/>
    <mergeCell ref="N31:N32"/>
    <mergeCell ref="N33:N34"/>
    <mergeCell ref="N35:N36"/>
    <mergeCell ref="O33:O34"/>
    <mergeCell ref="P33:P34"/>
    <mergeCell ref="Q33:Q34"/>
    <mergeCell ref="R33:R34"/>
    <mergeCell ref="S33:S34"/>
    <mergeCell ref="T33:T34"/>
    <mergeCell ref="U33:U34"/>
    <mergeCell ref="O35:O36"/>
    <mergeCell ref="P35:P36"/>
    <mergeCell ref="Q35:Q36"/>
    <mergeCell ref="R35:R36"/>
    <mergeCell ref="S35:S36"/>
    <mergeCell ref="O31:O32"/>
    <mergeCell ref="P31:P32"/>
    <mergeCell ref="Q31:Q32"/>
    <mergeCell ref="F35:F36"/>
    <mergeCell ref="K35:K36"/>
    <mergeCell ref="F33:F34"/>
    <mergeCell ref="M33:M34"/>
    <mergeCell ref="L35:L36"/>
    <mergeCell ref="M35:M36"/>
    <mergeCell ref="K33:K34"/>
    <mergeCell ref="L33:L34"/>
    <mergeCell ref="T29:T30"/>
    <mergeCell ref="F31:F32"/>
    <mergeCell ref="K31:K32"/>
    <mergeCell ref="L31:L32"/>
    <mergeCell ref="M31:M32"/>
    <mergeCell ref="R31:R32"/>
    <mergeCell ref="S31:S32"/>
    <mergeCell ref="T31:T32"/>
    <mergeCell ref="V37:V38"/>
    <mergeCell ref="W37:W38"/>
    <mergeCell ref="A45:W46"/>
    <mergeCell ref="V39:V40"/>
    <mergeCell ref="W39:W40"/>
    <mergeCell ref="V41:V42"/>
    <mergeCell ref="W41:W42"/>
    <mergeCell ref="V43:V44"/>
    <mergeCell ref="W43:W44"/>
    <mergeCell ref="N37:N38"/>
    <mergeCell ref="N39:N40"/>
    <mergeCell ref="N41:N42"/>
    <mergeCell ref="N43:N44"/>
    <mergeCell ref="U43:U44"/>
    <mergeCell ref="O43:O44"/>
    <mergeCell ref="P43:P44"/>
    <mergeCell ref="Q43:Q44"/>
    <mergeCell ref="R43:R44"/>
    <mergeCell ref="C43:C44"/>
    <mergeCell ref="D43:D44"/>
    <mergeCell ref="F43:F44"/>
    <mergeCell ref="S43:S44"/>
    <mergeCell ref="T43:T44"/>
    <mergeCell ref="R39:R4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DC40-766F-4551-9A83-4C34F186553F}">
  <sheetPr codeName="工作表4"/>
  <dimension ref="A1:Q48"/>
  <sheetViews>
    <sheetView workbookViewId="0">
      <selection activeCell="H32" sqref="H32:H47"/>
    </sheetView>
  </sheetViews>
  <sheetFormatPr defaultRowHeight="15"/>
  <cols>
    <col min="2" max="2" width="9" customWidth="1"/>
    <col min="14" max="14" width="19.5" customWidth="1"/>
  </cols>
  <sheetData>
    <row r="1" spans="1:17" ht="31.2" customHeight="1">
      <c r="A1" s="68" t="s">
        <v>321</v>
      </c>
      <c r="B1" s="68"/>
      <c r="C1" s="68" t="s">
        <v>324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68" t="s">
        <v>322</v>
      </c>
      <c r="P1" s="27"/>
      <c r="Q1" s="27"/>
    </row>
    <row r="2" spans="1:17" hidden="1">
      <c r="A2" s="68"/>
      <c r="B2" s="68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30" customHeight="1">
      <c r="A3" s="71" t="s">
        <v>304</v>
      </c>
      <c r="B3" s="71" t="s">
        <v>303</v>
      </c>
      <c r="C3" s="69" t="s">
        <v>579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70" t="s">
        <v>320</v>
      </c>
      <c r="P3" s="70" t="s">
        <v>146</v>
      </c>
      <c r="Q3" s="70" t="s">
        <v>148</v>
      </c>
    </row>
    <row r="4" spans="1:17">
      <c r="A4" s="71"/>
      <c r="B4" s="71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0"/>
      <c r="P4" s="70"/>
      <c r="Q4" s="70"/>
    </row>
    <row r="5" spans="1:17">
      <c r="A5" s="71"/>
      <c r="B5" s="71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70"/>
      <c r="P5" s="70"/>
      <c r="Q5" s="70"/>
    </row>
    <row r="6" spans="1:17" ht="15.6">
      <c r="A6" s="71"/>
      <c r="B6" s="71"/>
      <c r="C6" s="3" t="s">
        <v>371</v>
      </c>
      <c r="D6" s="3" t="s">
        <v>372</v>
      </c>
      <c r="E6" s="3" t="s">
        <v>201</v>
      </c>
      <c r="F6" s="3" t="s">
        <v>202</v>
      </c>
      <c r="G6" s="3" t="s">
        <v>203</v>
      </c>
      <c r="H6" s="3" t="s">
        <v>204</v>
      </c>
      <c r="I6" s="3" t="s">
        <v>205</v>
      </c>
      <c r="J6" s="3" t="s">
        <v>206</v>
      </c>
      <c r="K6" s="3" t="s">
        <v>207</v>
      </c>
      <c r="L6" s="3" t="s">
        <v>208</v>
      </c>
      <c r="M6" s="3" t="s">
        <v>209</v>
      </c>
      <c r="N6" s="3" t="s">
        <v>210</v>
      </c>
      <c r="O6" s="29" t="s">
        <v>211</v>
      </c>
      <c r="P6" s="29"/>
      <c r="Q6" s="29"/>
    </row>
    <row r="7" spans="1:17" ht="15" customHeight="1">
      <c r="A7" s="3" t="s">
        <v>374</v>
      </c>
      <c r="B7" s="3">
        <v>3</v>
      </c>
      <c r="C7" s="1" t="s">
        <v>213</v>
      </c>
      <c r="D7" s="1" t="s">
        <v>214</v>
      </c>
      <c r="E7" s="1" t="s">
        <v>215</v>
      </c>
      <c r="F7" s="1" t="s">
        <v>216</v>
      </c>
      <c r="G7" s="1" t="s">
        <v>176</v>
      </c>
      <c r="H7" s="1" t="s">
        <v>217</v>
      </c>
      <c r="I7" s="1" t="s">
        <v>218</v>
      </c>
      <c r="J7" s="1" t="s">
        <v>168</v>
      </c>
      <c r="K7" s="1" t="s">
        <v>167</v>
      </c>
      <c r="L7" s="1" t="s">
        <v>158</v>
      </c>
      <c r="M7" s="1">
        <v>0</v>
      </c>
      <c r="N7" s="32" t="s">
        <v>373</v>
      </c>
      <c r="O7" s="2" t="s">
        <v>158</v>
      </c>
      <c r="P7" s="2" t="s">
        <v>167</v>
      </c>
      <c r="Q7" s="2" t="s">
        <v>168</v>
      </c>
    </row>
    <row r="8" spans="1:17" ht="15.6">
      <c r="A8" s="3">
        <v>3</v>
      </c>
      <c r="B8" s="3">
        <v>6</v>
      </c>
      <c r="C8" s="1" t="s">
        <v>213</v>
      </c>
      <c r="D8" s="1" t="s">
        <v>214</v>
      </c>
      <c r="E8" s="1" t="s">
        <v>219</v>
      </c>
      <c r="F8" s="1" t="s">
        <v>220</v>
      </c>
      <c r="G8" s="1" t="s">
        <v>221</v>
      </c>
      <c r="H8" s="1" t="s">
        <v>176</v>
      </c>
      <c r="I8" s="1" t="s">
        <v>217</v>
      </c>
      <c r="J8" s="1" t="s">
        <v>218</v>
      </c>
      <c r="K8" s="1" t="s">
        <v>168</v>
      </c>
      <c r="L8" s="1" t="s">
        <v>167</v>
      </c>
      <c r="M8" s="1">
        <v>0</v>
      </c>
      <c r="N8" s="32"/>
      <c r="O8" s="2" t="s">
        <v>158</v>
      </c>
      <c r="P8" s="2" t="s">
        <v>167</v>
      </c>
      <c r="Q8" s="2"/>
    </row>
    <row r="9" spans="1:17" ht="15.6">
      <c r="A9" s="3">
        <v>6</v>
      </c>
      <c r="B9" s="3">
        <v>10</v>
      </c>
      <c r="C9" s="1" t="s">
        <v>222</v>
      </c>
      <c r="D9" s="1" t="s">
        <v>223</v>
      </c>
      <c r="E9" s="1" t="s">
        <v>224</v>
      </c>
      <c r="F9" s="1" t="s">
        <v>225</v>
      </c>
      <c r="G9" s="1" t="s">
        <v>226</v>
      </c>
      <c r="H9" s="1" t="s">
        <v>227</v>
      </c>
      <c r="I9" s="1" t="s">
        <v>228</v>
      </c>
      <c r="J9" s="1" t="s">
        <v>173</v>
      </c>
      <c r="K9" s="1" t="s">
        <v>170</v>
      </c>
      <c r="L9" s="1" t="s">
        <v>229</v>
      </c>
      <c r="M9" s="1">
        <v>0</v>
      </c>
      <c r="N9" s="32"/>
      <c r="O9" s="2" t="s">
        <v>158</v>
      </c>
      <c r="P9" s="2" t="s">
        <v>229</v>
      </c>
      <c r="Q9" s="2"/>
    </row>
    <row r="10" spans="1:17" ht="15.6">
      <c r="A10" s="3">
        <v>10</v>
      </c>
      <c r="B10" s="3">
        <v>14</v>
      </c>
      <c r="C10" s="45" t="s">
        <v>230</v>
      </c>
      <c r="D10" s="45" t="s">
        <v>223</v>
      </c>
      <c r="E10" s="45" t="s">
        <v>231</v>
      </c>
      <c r="F10" s="45">
        <v>-70</v>
      </c>
      <c r="G10" s="45" t="s">
        <v>232</v>
      </c>
      <c r="H10" s="45" t="s">
        <v>233</v>
      </c>
      <c r="I10" s="45" t="s">
        <v>178</v>
      </c>
      <c r="J10" s="45" t="s">
        <v>234</v>
      </c>
      <c r="K10" s="45" t="s">
        <v>218</v>
      </c>
      <c r="L10" s="45" t="s">
        <v>168</v>
      </c>
      <c r="M10" s="45">
        <v>0</v>
      </c>
      <c r="N10" s="32"/>
      <c r="O10" s="43" t="s">
        <v>235</v>
      </c>
      <c r="P10" s="43" t="s">
        <v>168</v>
      </c>
      <c r="Q10" s="43"/>
    </row>
    <row r="11" spans="1:17" ht="15.6">
      <c r="A11" s="3">
        <v>14</v>
      </c>
      <c r="B11" s="3">
        <v>18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32"/>
      <c r="O11" s="43"/>
      <c r="P11" s="43"/>
      <c r="Q11" s="43"/>
    </row>
    <row r="12" spans="1:17" ht="15.6">
      <c r="A12" s="3">
        <v>18</v>
      </c>
      <c r="B12" s="3">
        <v>24</v>
      </c>
      <c r="C12" s="45" t="s">
        <v>236</v>
      </c>
      <c r="D12" s="45" t="s">
        <v>237</v>
      </c>
      <c r="E12" s="45" t="s">
        <v>238</v>
      </c>
      <c r="F12" s="45" t="s">
        <v>239</v>
      </c>
      <c r="G12" s="45" t="s">
        <v>240</v>
      </c>
      <c r="H12" s="45" t="s">
        <v>226</v>
      </c>
      <c r="I12" s="45" t="s">
        <v>227</v>
      </c>
      <c r="J12" s="45" t="s">
        <v>176</v>
      </c>
      <c r="K12" s="45" t="s">
        <v>241</v>
      </c>
      <c r="L12" s="45" t="s">
        <v>169</v>
      </c>
      <c r="M12" s="45">
        <v>0</v>
      </c>
      <c r="N12" s="32"/>
      <c r="O12" s="43" t="s">
        <v>167</v>
      </c>
      <c r="P12" s="43" t="s">
        <v>170</v>
      </c>
      <c r="Q12" s="43"/>
    </row>
    <row r="13" spans="1:17" ht="15.6">
      <c r="A13" s="3">
        <v>24</v>
      </c>
      <c r="B13" s="3">
        <v>30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32"/>
      <c r="O13" s="43"/>
      <c r="P13" s="43"/>
      <c r="Q13" s="43"/>
    </row>
    <row r="14" spans="1:17" ht="15.6">
      <c r="A14" s="3">
        <v>30</v>
      </c>
      <c r="B14" s="3">
        <v>40</v>
      </c>
      <c r="C14" s="1" t="s">
        <v>242</v>
      </c>
      <c r="D14" s="1" t="s">
        <v>243</v>
      </c>
      <c r="E14" s="1" t="s">
        <v>244</v>
      </c>
      <c r="F14" s="45">
        <v>-100</v>
      </c>
      <c r="G14" s="45" t="s">
        <v>224</v>
      </c>
      <c r="H14" s="45" t="s">
        <v>232</v>
      </c>
      <c r="I14" s="45" t="s">
        <v>246</v>
      </c>
      <c r="J14" s="45" t="s">
        <v>227</v>
      </c>
      <c r="K14" s="45" t="s">
        <v>174</v>
      </c>
      <c r="L14" s="45" t="s">
        <v>171</v>
      </c>
      <c r="M14" s="45">
        <v>0</v>
      </c>
      <c r="N14" s="32"/>
      <c r="O14" s="43" t="s">
        <v>229</v>
      </c>
      <c r="P14" s="43" t="s">
        <v>218</v>
      </c>
      <c r="Q14" s="43"/>
    </row>
    <row r="15" spans="1:17" ht="15.6">
      <c r="A15" s="3">
        <v>40</v>
      </c>
      <c r="B15" s="3">
        <v>50</v>
      </c>
      <c r="C15" s="1" t="s">
        <v>247</v>
      </c>
      <c r="D15" s="1" t="s">
        <v>248</v>
      </c>
      <c r="E15" s="1" t="s">
        <v>249</v>
      </c>
      <c r="F15" s="45"/>
      <c r="G15" s="45"/>
      <c r="H15" s="45"/>
      <c r="I15" s="45"/>
      <c r="J15" s="45"/>
      <c r="K15" s="45"/>
      <c r="L15" s="45"/>
      <c r="M15" s="45"/>
      <c r="N15" s="32"/>
      <c r="O15" s="43"/>
      <c r="P15" s="43"/>
      <c r="Q15" s="43"/>
    </row>
    <row r="16" spans="1:17" ht="15.6">
      <c r="A16" s="3">
        <v>50</v>
      </c>
      <c r="B16" s="3">
        <v>65</v>
      </c>
      <c r="C16" s="1" t="s">
        <v>250</v>
      </c>
      <c r="D16" s="1" t="s">
        <v>251</v>
      </c>
      <c r="E16" s="1" t="s">
        <v>214</v>
      </c>
      <c r="F16" s="45"/>
      <c r="G16" s="45" t="s">
        <v>245</v>
      </c>
      <c r="H16" s="45" t="s">
        <v>215</v>
      </c>
      <c r="I16" s="45"/>
      <c r="J16" s="45" t="s">
        <v>221</v>
      </c>
      <c r="K16" s="45"/>
      <c r="L16" s="45" t="s">
        <v>218</v>
      </c>
      <c r="M16" s="45">
        <v>0</v>
      </c>
      <c r="N16" s="32"/>
      <c r="O16" s="43" t="s">
        <v>169</v>
      </c>
      <c r="P16" s="43" t="s">
        <v>241</v>
      </c>
      <c r="Q16" s="43"/>
    </row>
    <row r="17" spans="1:17" ht="15.6">
      <c r="A17" s="3">
        <v>65</v>
      </c>
      <c r="B17" s="3">
        <v>80</v>
      </c>
      <c r="C17" s="1" t="s">
        <v>252</v>
      </c>
      <c r="D17" s="1" t="s">
        <v>253</v>
      </c>
      <c r="E17" s="1" t="s">
        <v>223</v>
      </c>
      <c r="F17" s="45"/>
      <c r="G17" s="45"/>
      <c r="H17" s="45"/>
      <c r="I17" s="45"/>
      <c r="J17" s="45"/>
      <c r="K17" s="45"/>
      <c r="L17" s="45"/>
      <c r="M17" s="45"/>
      <c r="N17" s="32"/>
      <c r="O17" s="43"/>
      <c r="P17" s="43"/>
      <c r="Q17" s="43"/>
    </row>
    <row r="18" spans="1:17" ht="15.6">
      <c r="A18" s="3">
        <v>80</v>
      </c>
      <c r="B18" s="3">
        <v>100</v>
      </c>
      <c r="C18" s="1" t="s">
        <v>254</v>
      </c>
      <c r="D18" s="1" t="s">
        <v>255</v>
      </c>
      <c r="E18" s="1" t="s">
        <v>243</v>
      </c>
      <c r="F18" s="45"/>
      <c r="G18" s="45" t="s">
        <v>244</v>
      </c>
      <c r="H18" s="45" t="s">
        <v>256</v>
      </c>
      <c r="I18" s="45"/>
      <c r="J18" s="45" t="s">
        <v>257</v>
      </c>
      <c r="K18" s="45"/>
      <c r="L18" s="45" t="s">
        <v>241</v>
      </c>
      <c r="M18" s="45">
        <v>0</v>
      </c>
      <c r="N18" s="32"/>
      <c r="O18" s="43" t="s">
        <v>171</v>
      </c>
      <c r="P18" s="43" t="s">
        <v>174</v>
      </c>
      <c r="Q18" s="43"/>
    </row>
    <row r="19" spans="1:17" ht="15.6">
      <c r="A19" s="3">
        <v>100</v>
      </c>
      <c r="B19" s="3">
        <v>120</v>
      </c>
      <c r="C19" s="1" t="s">
        <v>258</v>
      </c>
      <c r="D19" s="1" t="s">
        <v>259</v>
      </c>
      <c r="E19" s="1" t="s">
        <v>248</v>
      </c>
      <c r="F19" s="45"/>
      <c r="G19" s="45"/>
      <c r="H19" s="45"/>
      <c r="I19" s="45"/>
      <c r="J19" s="45"/>
      <c r="K19" s="45"/>
      <c r="L19" s="45"/>
      <c r="M19" s="45"/>
      <c r="N19" s="32"/>
      <c r="O19" s="43"/>
      <c r="P19" s="43"/>
      <c r="Q19" s="43"/>
    </row>
    <row r="20" spans="1:17" ht="15.6">
      <c r="A20" s="3">
        <v>120</v>
      </c>
      <c r="B20" s="3">
        <v>140</v>
      </c>
      <c r="C20" s="1" t="s">
        <v>260</v>
      </c>
      <c r="D20" s="1" t="s">
        <v>261</v>
      </c>
      <c r="E20" s="1" t="s">
        <v>253</v>
      </c>
      <c r="F20" s="45"/>
      <c r="G20" s="45"/>
      <c r="H20" s="45"/>
      <c r="I20" s="45"/>
      <c r="J20" s="45"/>
      <c r="K20" s="45"/>
      <c r="L20" s="45"/>
      <c r="M20" s="45"/>
      <c r="N20" s="32"/>
      <c r="O20" s="43"/>
      <c r="P20" s="43"/>
      <c r="Q20" s="43"/>
    </row>
    <row r="21" spans="1:17" ht="15.6">
      <c r="A21" s="3">
        <v>140</v>
      </c>
      <c r="B21" s="3">
        <v>160</v>
      </c>
      <c r="C21" s="1" t="s">
        <v>264</v>
      </c>
      <c r="D21" s="1" t="s">
        <v>222</v>
      </c>
      <c r="E21" s="1" t="s">
        <v>265</v>
      </c>
      <c r="F21" s="45"/>
      <c r="G21" s="45" t="s">
        <v>262</v>
      </c>
      <c r="H21" s="45" t="s">
        <v>239</v>
      </c>
      <c r="I21" s="45"/>
      <c r="J21" s="45" t="s">
        <v>263</v>
      </c>
      <c r="K21" s="45"/>
      <c r="L21" s="45" t="s">
        <v>217</v>
      </c>
      <c r="M21" s="45">
        <v>0</v>
      </c>
      <c r="N21" s="32"/>
      <c r="O21" s="43" t="s">
        <v>172</v>
      </c>
      <c r="P21" s="43" t="s">
        <v>228</v>
      </c>
      <c r="Q21" s="43"/>
    </row>
    <row r="22" spans="1:17" ht="15.6">
      <c r="A22" s="3">
        <v>160</v>
      </c>
      <c r="B22" s="3">
        <v>180</v>
      </c>
      <c r="C22" s="1" t="s">
        <v>266</v>
      </c>
      <c r="D22" s="1" t="s">
        <v>242</v>
      </c>
      <c r="E22" s="1" t="s">
        <v>267</v>
      </c>
      <c r="F22" s="45"/>
      <c r="G22" s="45"/>
      <c r="H22" s="45"/>
      <c r="I22" s="45"/>
      <c r="J22" s="45"/>
      <c r="K22" s="45"/>
      <c r="L22" s="45"/>
      <c r="M22" s="45"/>
      <c r="N22" s="32"/>
      <c r="O22" s="43"/>
      <c r="P22" s="43"/>
      <c r="Q22" s="43"/>
    </row>
    <row r="23" spans="1:17" ht="15.6">
      <c r="A23" s="3">
        <v>180</v>
      </c>
      <c r="B23" s="3">
        <v>200</v>
      </c>
      <c r="C23" s="1" t="s">
        <v>268</v>
      </c>
      <c r="D23" s="1" t="s">
        <v>250</v>
      </c>
      <c r="E23" s="1" t="s">
        <v>259</v>
      </c>
      <c r="F23" s="45"/>
      <c r="G23" s="45"/>
      <c r="H23" s="45"/>
      <c r="I23" s="45"/>
      <c r="J23" s="45"/>
      <c r="K23" s="45"/>
      <c r="L23" s="45"/>
      <c r="M23" s="45"/>
      <c r="N23" s="32"/>
      <c r="O23" s="43"/>
      <c r="P23" s="43"/>
      <c r="Q23" s="43"/>
    </row>
    <row r="24" spans="1:17" ht="15.6">
      <c r="A24" s="3">
        <v>200</v>
      </c>
      <c r="B24" s="3">
        <v>225</v>
      </c>
      <c r="C24" s="1" t="s">
        <v>269</v>
      </c>
      <c r="D24" s="1" t="s">
        <v>254</v>
      </c>
      <c r="E24" s="1" t="s">
        <v>261</v>
      </c>
      <c r="F24" s="45"/>
      <c r="G24" s="45" t="s">
        <v>243</v>
      </c>
      <c r="H24" s="45" t="s">
        <v>245</v>
      </c>
      <c r="I24" s="45"/>
      <c r="J24" s="45" t="s">
        <v>232</v>
      </c>
      <c r="K24" s="45"/>
      <c r="L24" s="45" t="s">
        <v>174</v>
      </c>
      <c r="M24" s="45">
        <v>0</v>
      </c>
      <c r="N24" s="32"/>
      <c r="O24" s="43" t="s">
        <v>173</v>
      </c>
      <c r="P24" s="43" t="s">
        <v>177</v>
      </c>
      <c r="Q24" s="43"/>
    </row>
    <row r="25" spans="1:17" ht="15.6">
      <c r="A25" s="3">
        <v>225</v>
      </c>
      <c r="B25" s="3">
        <v>250</v>
      </c>
      <c r="C25" s="1" t="s">
        <v>270</v>
      </c>
      <c r="D25" s="1" t="s">
        <v>271</v>
      </c>
      <c r="E25" s="1" t="s">
        <v>222</v>
      </c>
      <c r="F25" s="45"/>
      <c r="G25" s="45"/>
      <c r="H25" s="45"/>
      <c r="I25" s="45"/>
      <c r="J25" s="45"/>
      <c r="K25" s="45"/>
      <c r="L25" s="45"/>
      <c r="M25" s="45"/>
      <c r="N25" s="32"/>
      <c r="O25" s="43"/>
      <c r="P25" s="43"/>
      <c r="Q25" s="43"/>
    </row>
    <row r="26" spans="1:17" ht="15.6">
      <c r="A26" s="3">
        <v>250</v>
      </c>
      <c r="B26" s="3">
        <v>280</v>
      </c>
      <c r="C26" s="1" t="s">
        <v>272</v>
      </c>
      <c r="D26" s="1" t="s">
        <v>273</v>
      </c>
      <c r="E26" s="1" t="s">
        <v>236</v>
      </c>
      <c r="F26" s="45"/>
      <c r="G26" s="45" t="s">
        <v>251</v>
      </c>
      <c r="H26" s="45" t="s">
        <v>238</v>
      </c>
      <c r="I26" s="45"/>
      <c r="J26" s="45" t="s">
        <v>225</v>
      </c>
      <c r="K26" s="45"/>
      <c r="L26" s="45" t="s">
        <v>175</v>
      </c>
      <c r="M26" s="45">
        <v>0</v>
      </c>
      <c r="N26" s="32"/>
      <c r="O26" s="43" t="s">
        <v>234</v>
      </c>
      <c r="P26" s="43" t="s">
        <v>274</v>
      </c>
      <c r="Q26" s="43"/>
    </row>
    <row r="27" spans="1:17" ht="15.6">
      <c r="A27" s="3">
        <v>280</v>
      </c>
      <c r="B27" s="3">
        <v>315</v>
      </c>
      <c r="C27" s="1" t="s">
        <v>275</v>
      </c>
      <c r="D27" s="1" t="s">
        <v>276</v>
      </c>
      <c r="E27" s="1" t="s">
        <v>277</v>
      </c>
      <c r="F27" s="45"/>
      <c r="G27" s="45"/>
      <c r="H27" s="45"/>
      <c r="I27" s="45"/>
      <c r="J27" s="45"/>
      <c r="K27" s="45"/>
      <c r="L27" s="45"/>
      <c r="M27" s="45"/>
      <c r="N27" s="32"/>
      <c r="O27" s="43"/>
      <c r="P27" s="43"/>
      <c r="Q27" s="43"/>
    </row>
    <row r="28" spans="1:17" ht="15.6">
      <c r="A28" s="3">
        <v>315</v>
      </c>
      <c r="B28" s="3">
        <v>355</v>
      </c>
      <c r="C28" s="1" t="s">
        <v>278</v>
      </c>
      <c r="D28" s="1" t="s">
        <v>279</v>
      </c>
      <c r="E28" s="1" t="s">
        <v>252</v>
      </c>
      <c r="F28" s="45"/>
      <c r="G28" s="45" t="s">
        <v>265</v>
      </c>
      <c r="H28" s="45" t="s">
        <v>280</v>
      </c>
      <c r="I28" s="45"/>
      <c r="J28" s="45" t="s">
        <v>281</v>
      </c>
      <c r="K28" s="45"/>
      <c r="L28" s="45" t="s">
        <v>228</v>
      </c>
      <c r="M28" s="45">
        <v>0</v>
      </c>
      <c r="N28" s="32"/>
      <c r="O28" s="43" t="s">
        <v>228</v>
      </c>
      <c r="P28" s="43" t="s">
        <v>282</v>
      </c>
      <c r="Q28" s="43"/>
    </row>
    <row r="29" spans="1:17" ht="15.6">
      <c r="A29" s="3">
        <v>355</v>
      </c>
      <c r="B29" s="3">
        <v>400</v>
      </c>
      <c r="C29" s="1" t="s">
        <v>283</v>
      </c>
      <c r="D29" s="1" t="s">
        <v>284</v>
      </c>
      <c r="E29" s="1" t="s">
        <v>285</v>
      </c>
      <c r="F29" s="45"/>
      <c r="G29" s="45"/>
      <c r="H29" s="45"/>
      <c r="I29" s="45"/>
      <c r="J29" s="45"/>
      <c r="K29" s="45"/>
      <c r="L29" s="45"/>
      <c r="M29" s="45"/>
      <c r="N29" s="32"/>
      <c r="O29" s="43"/>
      <c r="P29" s="43"/>
      <c r="Q29" s="43"/>
    </row>
    <row r="30" spans="1:17" ht="15.6">
      <c r="A30" s="3">
        <v>400</v>
      </c>
      <c r="B30" s="3">
        <v>450</v>
      </c>
      <c r="C30" s="1" t="s">
        <v>286</v>
      </c>
      <c r="D30" s="1" t="s">
        <v>287</v>
      </c>
      <c r="E30" s="1" t="s">
        <v>288</v>
      </c>
      <c r="F30" s="45"/>
      <c r="G30" s="45" t="s">
        <v>267</v>
      </c>
      <c r="H30" s="45" t="s">
        <v>289</v>
      </c>
      <c r="I30" s="45"/>
      <c r="J30" s="45" t="s">
        <v>290</v>
      </c>
      <c r="K30" s="45"/>
      <c r="L30" s="45" t="s">
        <v>176</v>
      </c>
      <c r="M30" s="45">
        <v>0</v>
      </c>
      <c r="N30" s="32"/>
      <c r="O30" s="43" t="s">
        <v>176</v>
      </c>
      <c r="P30" s="43" t="s">
        <v>233</v>
      </c>
      <c r="Q30" s="43"/>
    </row>
    <row r="31" spans="1:17" ht="15.6">
      <c r="A31" s="3">
        <v>450</v>
      </c>
      <c r="B31" s="3">
        <v>500</v>
      </c>
      <c r="C31" s="1" t="s">
        <v>291</v>
      </c>
      <c r="D31" s="1" t="s">
        <v>292</v>
      </c>
      <c r="E31" s="1" t="s">
        <v>273</v>
      </c>
      <c r="F31" s="45"/>
      <c r="G31" s="45"/>
      <c r="H31" s="45"/>
      <c r="I31" s="45"/>
      <c r="J31" s="45"/>
      <c r="K31" s="45"/>
      <c r="L31" s="45"/>
      <c r="M31" s="45"/>
      <c r="N31" s="32"/>
      <c r="O31" s="43"/>
      <c r="P31" s="43"/>
      <c r="Q31" s="43"/>
    </row>
    <row r="32" spans="1:17" ht="15.6">
      <c r="A32" s="3">
        <v>500</v>
      </c>
      <c r="B32" s="3">
        <v>560</v>
      </c>
      <c r="C32" s="45"/>
      <c r="D32" s="45"/>
      <c r="E32" s="45"/>
      <c r="F32" s="45"/>
      <c r="G32" s="45" t="s">
        <v>261</v>
      </c>
      <c r="H32" s="45" t="s">
        <v>262</v>
      </c>
      <c r="I32" s="45"/>
      <c r="J32" s="45" t="s">
        <v>293</v>
      </c>
      <c r="K32" s="45"/>
      <c r="L32" s="45" t="s">
        <v>294</v>
      </c>
      <c r="M32" s="45">
        <v>0</v>
      </c>
      <c r="N32" s="32"/>
      <c r="O32" s="43"/>
      <c r="P32" s="43"/>
      <c r="Q32" s="43"/>
    </row>
    <row r="33" spans="1:17" ht="15.6">
      <c r="A33" s="3">
        <v>560</v>
      </c>
      <c r="B33" s="3">
        <v>630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32"/>
      <c r="O33" s="43"/>
      <c r="P33" s="43"/>
      <c r="Q33" s="43"/>
    </row>
    <row r="34" spans="1:17" ht="15.6">
      <c r="A34" s="3">
        <v>630</v>
      </c>
      <c r="B34" s="3">
        <v>710</v>
      </c>
      <c r="C34" s="45"/>
      <c r="D34" s="45"/>
      <c r="E34" s="45"/>
      <c r="F34" s="45"/>
      <c r="G34" s="45" t="s">
        <v>230</v>
      </c>
      <c r="H34" s="45" t="s">
        <v>237</v>
      </c>
      <c r="I34" s="45"/>
      <c r="J34" s="45" t="s">
        <v>224</v>
      </c>
      <c r="K34" s="45"/>
      <c r="L34" s="45" t="s">
        <v>295</v>
      </c>
      <c r="M34" s="45">
        <v>0</v>
      </c>
      <c r="N34" s="32"/>
      <c r="O34" s="43"/>
      <c r="P34" s="43"/>
      <c r="Q34" s="43"/>
    </row>
    <row r="35" spans="1:17" ht="15.6">
      <c r="A35" s="3">
        <v>710</v>
      </c>
      <c r="B35" s="3">
        <v>800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32"/>
      <c r="O35" s="43"/>
      <c r="P35" s="43"/>
      <c r="Q35" s="43"/>
    </row>
    <row r="36" spans="1:17" ht="15.6">
      <c r="A36" s="3">
        <v>800</v>
      </c>
      <c r="B36" s="3">
        <v>900</v>
      </c>
      <c r="C36" s="45"/>
      <c r="D36" s="45"/>
      <c r="E36" s="45"/>
      <c r="F36" s="45"/>
      <c r="G36" s="45" t="s">
        <v>247</v>
      </c>
      <c r="H36" s="45" t="s">
        <v>243</v>
      </c>
      <c r="I36" s="45"/>
      <c r="J36" s="45" t="s">
        <v>296</v>
      </c>
      <c r="K36" s="45"/>
      <c r="L36" s="45" t="s">
        <v>274</v>
      </c>
      <c r="M36" s="45">
        <v>0</v>
      </c>
      <c r="N36" s="32"/>
      <c r="O36" s="43"/>
      <c r="P36" s="43"/>
      <c r="Q36" s="43"/>
    </row>
    <row r="37" spans="1:17" ht="15.6">
      <c r="A37" s="3">
        <v>900</v>
      </c>
      <c r="B37" s="14">
        <v>1000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32"/>
      <c r="O37" s="43"/>
      <c r="P37" s="43"/>
      <c r="Q37" s="43"/>
    </row>
    <row r="38" spans="1:17" ht="15.6">
      <c r="A38" s="14">
        <v>1000</v>
      </c>
      <c r="B38" s="14">
        <v>1120</v>
      </c>
      <c r="C38" s="45"/>
      <c r="D38" s="45"/>
      <c r="E38" s="45"/>
      <c r="F38" s="45"/>
      <c r="G38" s="45" t="s">
        <v>297</v>
      </c>
      <c r="H38" s="45" t="s">
        <v>298</v>
      </c>
      <c r="I38" s="45"/>
      <c r="J38" s="45" t="s">
        <v>299</v>
      </c>
      <c r="K38" s="45"/>
      <c r="L38" s="45" t="s">
        <v>282</v>
      </c>
      <c r="M38" s="45">
        <v>0</v>
      </c>
      <c r="N38" s="32"/>
      <c r="O38" s="43"/>
      <c r="P38" s="43"/>
      <c r="Q38" s="43"/>
    </row>
    <row r="39" spans="1:17" ht="15.6">
      <c r="A39" s="14">
        <v>1120</v>
      </c>
      <c r="B39" s="14">
        <v>1250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32"/>
      <c r="O39" s="43"/>
      <c r="P39" s="43"/>
      <c r="Q39" s="43"/>
    </row>
    <row r="40" spans="1:17" ht="15.6">
      <c r="A40" s="14">
        <v>1250</v>
      </c>
      <c r="B40" s="14">
        <v>1400</v>
      </c>
      <c r="C40" s="45"/>
      <c r="D40" s="45"/>
      <c r="E40" s="45"/>
      <c r="F40" s="45"/>
      <c r="G40" s="45" t="s">
        <v>300</v>
      </c>
      <c r="H40" s="45" t="s">
        <v>255</v>
      </c>
      <c r="I40" s="45"/>
      <c r="J40" s="45" t="s">
        <v>238</v>
      </c>
      <c r="K40" s="45"/>
      <c r="L40" s="45" t="s">
        <v>221</v>
      </c>
      <c r="M40" s="45">
        <v>0</v>
      </c>
      <c r="N40" s="32"/>
      <c r="O40" s="43"/>
      <c r="P40" s="43"/>
      <c r="Q40" s="43"/>
    </row>
    <row r="41" spans="1:17" ht="15.6">
      <c r="A41" s="14">
        <v>1400</v>
      </c>
      <c r="B41" s="14">
        <v>1600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32"/>
      <c r="O41" s="43"/>
      <c r="P41" s="43"/>
      <c r="Q41" s="43"/>
    </row>
    <row r="42" spans="1:17" ht="15.6">
      <c r="A42" s="14">
        <v>1600</v>
      </c>
      <c r="B42" s="14">
        <v>1800</v>
      </c>
      <c r="C42" s="45"/>
      <c r="D42" s="45"/>
      <c r="E42" s="45"/>
      <c r="F42" s="45"/>
      <c r="G42" s="45" t="s">
        <v>301</v>
      </c>
      <c r="H42" s="45" t="s">
        <v>259</v>
      </c>
      <c r="I42" s="45"/>
      <c r="J42" s="45" t="s">
        <v>244</v>
      </c>
      <c r="K42" s="45"/>
      <c r="L42" s="45" t="s">
        <v>233</v>
      </c>
      <c r="M42" s="45">
        <v>0</v>
      </c>
      <c r="N42" s="32"/>
      <c r="O42" s="43"/>
      <c r="P42" s="43"/>
      <c r="Q42" s="43"/>
    </row>
    <row r="43" spans="1:17" ht="15.6">
      <c r="A43" s="14">
        <v>1800</v>
      </c>
      <c r="B43" s="14">
        <v>2000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32"/>
      <c r="O43" s="43"/>
      <c r="P43" s="43"/>
      <c r="Q43" s="43"/>
    </row>
    <row r="44" spans="1:17" ht="15.6">
      <c r="A44" s="14">
        <v>2000</v>
      </c>
      <c r="B44" s="14">
        <v>2240</v>
      </c>
      <c r="C44" s="45"/>
      <c r="D44" s="45"/>
      <c r="E44" s="45"/>
      <c r="F44" s="45"/>
      <c r="G44" s="45" t="s">
        <v>273</v>
      </c>
      <c r="H44" s="45" t="s">
        <v>261</v>
      </c>
      <c r="I44" s="45"/>
      <c r="J44" s="45" t="s">
        <v>249</v>
      </c>
      <c r="K44" s="45"/>
      <c r="L44" s="45" t="s">
        <v>216</v>
      </c>
      <c r="M44" s="45">
        <v>0</v>
      </c>
      <c r="N44" s="32"/>
      <c r="O44" s="43"/>
      <c r="P44" s="43"/>
      <c r="Q44" s="43"/>
    </row>
    <row r="45" spans="1:17" ht="15.6">
      <c r="A45" s="14">
        <v>2240</v>
      </c>
      <c r="B45" s="14">
        <v>2500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32"/>
      <c r="O45" s="43"/>
      <c r="P45" s="43"/>
      <c r="Q45" s="43"/>
    </row>
    <row r="46" spans="1:17" ht="15.6">
      <c r="A46" s="14">
        <v>2500</v>
      </c>
      <c r="B46" s="14">
        <v>2800</v>
      </c>
      <c r="C46" s="45"/>
      <c r="D46" s="45"/>
      <c r="E46" s="45"/>
      <c r="F46" s="45"/>
      <c r="G46" s="45" t="s">
        <v>264</v>
      </c>
      <c r="H46" s="45" t="s">
        <v>230</v>
      </c>
      <c r="I46" s="45"/>
      <c r="J46" s="45" t="s">
        <v>262</v>
      </c>
      <c r="K46" s="45"/>
      <c r="L46" s="45" t="s">
        <v>302</v>
      </c>
      <c r="M46" s="45">
        <v>0</v>
      </c>
      <c r="N46" s="32"/>
      <c r="O46" s="43"/>
      <c r="P46" s="43"/>
      <c r="Q46" s="43"/>
    </row>
    <row r="47" spans="1:17" ht="15.6">
      <c r="A47" s="14">
        <v>2800</v>
      </c>
      <c r="B47" s="14">
        <v>3150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32"/>
      <c r="O47" s="43"/>
      <c r="P47" s="43"/>
      <c r="Q47" s="43"/>
    </row>
    <row r="48" spans="1:17" ht="19.2" customHeight="1">
      <c r="A48" s="66" t="s">
        <v>351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</row>
  </sheetData>
  <mergeCells count="240">
    <mergeCell ref="O6:Q6"/>
    <mergeCell ref="C10:C11"/>
    <mergeCell ref="D10:D11"/>
    <mergeCell ref="E10:E11"/>
    <mergeCell ref="F10:F11"/>
    <mergeCell ref="G10:G11"/>
    <mergeCell ref="H10:H11"/>
    <mergeCell ref="I10:I11"/>
    <mergeCell ref="A1:B2"/>
    <mergeCell ref="Q10:Q11"/>
    <mergeCell ref="J10:J11"/>
    <mergeCell ref="K10:K11"/>
    <mergeCell ref="L10:L11"/>
    <mergeCell ref="M10:M11"/>
    <mergeCell ref="C1:N2"/>
    <mergeCell ref="O1:Q2"/>
    <mergeCell ref="C3:N5"/>
    <mergeCell ref="O3:O5"/>
    <mergeCell ref="P3:P5"/>
    <mergeCell ref="Q3:Q5"/>
    <mergeCell ref="A3:A6"/>
    <mergeCell ref="B3:B6"/>
    <mergeCell ref="P10:P11"/>
    <mergeCell ref="O10:O11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8:L20"/>
    <mergeCell ref="M18:M20"/>
    <mergeCell ref="P18:P20"/>
    <mergeCell ref="Q18:Q20"/>
    <mergeCell ref="L16:L17"/>
    <mergeCell ref="M16:M17"/>
    <mergeCell ref="F16:F17"/>
    <mergeCell ref="G16:G17"/>
    <mergeCell ref="H16:H17"/>
    <mergeCell ref="I16:I17"/>
    <mergeCell ref="J16:J17"/>
    <mergeCell ref="K16:K17"/>
    <mergeCell ref="F18:F20"/>
    <mergeCell ref="G18:G20"/>
    <mergeCell ref="H18:H20"/>
    <mergeCell ref="I18:I20"/>
    <mergeCell ref="J18:J20"/>
    <mergeCell ref="K18:K20"/>
    <mergeCell ref="Q16:Q17"/>
    <mergeCell ref="Q28:Q29"/>
    <mergeCell ref="L26:L27"/>
    <mergeCell ref="M26:M27"/>
    <mergeCell ref="O26:O27"/>
    <mergeCell ref="P26:P27"/>
    <mergeCell ref="Q26:Q27"/>
    <mergeCell ref="F28:F29"/>
    <mergeCell ref="G28:G29"/>
    <mergeCell ref="H28:H29"/>
    <mergeCell ref="I28:I29"/>
    <mergeCell ref="J28:J29"/>
    <mergeCell ref="F26:F27"/>
    <mergeCell ref="G26:G27"/>
    <mergeCell ref="H26:H27"/>
    <mergeCell ref="I26:I27"/>
    <mergeCell ref="J26:J27"/>
    <mergeCell ref="K26:K27"/>
    <mergeCell ref="C34:C35"/>
    <mergeCell ref="D34:D35"/>
    <mergeCell ref="E34:E35"/>
    <mergeCell ref="F34:F35"/>
    <mergeCell ref="G34:G35"/>
    <mergeCell ref="H34:H35"/>
    <mergeCell ref="I34:I35"/>
    <mergeCell ref="H32:H33"/>
    <mergeCell ref="I32:I33"/>
    <mergeCell ref="C32:C33"/>
    <mergeCell ref="D32:D33"/>
    <mergeCell ref="E32:E33"/>
    <mergeCell ref="F32:F33"/>
    <mergeCell ref="G32:G33"/>
    <mergeCell ref="C38:C39"/>
    <mergeCell ref="D38:D39"/>
    <mergeCell ref="E38:E39"/>
    <mergeCell ref="F38:F39"/>
    <mergeCell ref="G38:G39"/>
    <mergeCell ref="Q34:Q35"/>
    <mergeCell ref="C36:C37"/>
    <mergeCell ref="D36:D37"/>
    <mergeCell ref="H38:H39"/>
    <mergeCell ref="I38:I39"/>
    <mergeCell ref="J38:J39"/>
    <mergeCell ref="K38:K39"/>
    <mergeCell ref="L38:L39"/>
    <mergeCell ref="M38:M39"/>
    <mergeCell ref="L36:L37"/>
    <mergeCell ref="M36:M37"/>
    <mergeCell ref="O36:O37"/>
    <mergeCell ref="E36:E37"/>
    <mergeCell ref="F36:F37"/>
    <mergeCell ref="G36:G37"/>
    <mergeCell ref="H36:H37"/>
    <mergeCell ref="I36:I37"/>
    <mergeCell ref="J36:J37"/>
    <mergeCell ref="K36:K37"/>
    <mergeCell ref="K14:K15"/>
    <mergeCell ref="L14:L15"/>
    <mergeCell ref="M14:M15"/>
    <mergeCell ref="L12:L13"/>
    <mergeCell ref="M12:M13"/>
    <mergeCell ref="F14:F15"/>
    <mergeCell ref="G14:G15"/>
    <mergeCell ref="H14:H15"/>
    <mergeCell ref="I14:I15"/>
    <mergeCell ref="J14:J15"/>
    <mergeCell ref="L34:L35"/>
    <mergeCell ref="M34:M35"/>
    <mergeCell ref="K21:K23"/>
    <mergeCell ref="L21:L23"/>
    <mergeCell ref="M21:M23"/>
    <mergeCell ref="F24:F25"/>
    <mergeCell ref="G24:G25"/>
    <mergeCell ref="H24:H25"/>
    <mergeCell ref="I24:I25"/>
    <mergeCell ref="J24:J25"/>
    <mergeCell ref="K24:K25"/>
    <mergeCell ref="L24:L25"/>
    <mergeCell ref="M24:M25"/>
    <mergeCell ref="J34:J35"/>
    <mergeCell ref="K34:K35"/>
    <mergeCell ref="L28:L29"/>
    <mergeCell ref="M28:M29"/>
    <mergeCell ref="F21:F23"/>
    <mergeCell ref="G21:G23"/>
    <mergeCell ref="H21:H23"/>
    <mergeCell ref="I21:I23"/>
    <mergeCell ref="J21:J23"/>
    <mergeCell ref="K28:K29"/>
    <mergeCell ref="J32:J33"/>
    <mergeCell ref="L32:L33"/>
    <mergeCell ref="M32:M33"/>
    <mergeCell ref="L30:L31"/>
    <mergeCell ref="M30:M31"/>
    <mergeCell ref="F30:F31"/>
    <mergeCell ref="G30:G31"/>
    <mergeCell ref="H30:H31"/>
    <mergeCell ref="I30:I31"/>
    <mergeCell ref="J30:J31"/>
    <mergeCell ref="K30:K31"/>
    <mergeCell ref="O12:O13"/>
    <mergeCell ref="P12:P13"/>
    <mergeCell ref="Q12:Q13"/>
    <mergeCell ref="O14:O15"/>
    <mergeCell ref="P14:P15"/>
    <mergeCell ref="Q14:Q15"/>
    <mergeCell ref="D44:D45"/>
    <mergeCell ref="E44:E45"/>
    <mergeCell ref="O16:O17"/>
    <mergeCell ref="O42:O43"/>
    <mergeCell ref="N7:N47"/>
    <mergeCell ref="O18:O20"/>
    <mergeCell ref="L46:L47"/>
    <mergeCell ref="M46:M47"/>
    <mergeCell ref="D40:D41"/>
    <mergeCell ref="E40:E41"/>
    <mergeCell ref="D42:D43"/>
    <mergeCell ref="E42:E43"/>
    <mergeCell ref="F46:F47"/>
    <mergeCell ref="G46:G47"/>
    <mergeCell ref="H46:H47"/>
    <mergeCell ref="I46:I47"/>
    <mergeCell ref="P16:P17"/>
    <mergeCell ref="K32:K33"/>
    <mergeCell ref="O24:O25"/>
    <mergeCell ref="P24:P25"/>
    <mergeCell ref="Q24:Q25"/>
    <mergeCell ref="O40:O41"/>
    <mergeCell ref="P40:P41"/>
    <mergeCell ref="Q40:Q41"/>
    <mergeCell ref="O21:O23"/>
    <mergeCell ref="P21:P23"/>
    <mergeCell ref="O38:O39"/>
    <mergeCell ref="P38:P39"/>
    <mergeCell ref="Q38:Q39"/>
    <mergeCell ref="O34:O35"/>
    <mergeCell ref="P34:P35"/>
    <mergeCell ref="O32:O33"/>
    <mergeCell ref="P32:P33"/>
    <mergeCell ref="Q32:Q33"/>
    <mergeCell ref="O30:O31"/>
    <mergeCell ref="P30:P31"/>
    <mergeCell ref="Q30:Q31"/>
    <mergeCell ref="Q21:Q23"/>
    <mergeCell ref="P36:P37"/>
    <mergeCell ref="Q36:Q37"/>
    <mergeCell ref="O28:O29"/>
    <mergeCell ref="P28:P29"/>
    <mergeCell ref="A48:Q48"/>
    <mergeCell ref="P42:P43"/>
    <mergeCell ref="Q42:Q43"/>
    <mergeCell ref="O44:O45"/>
    <mergeCell ref="P44:P45"/>
    <mergeCell ref="Q44:Q45"/>
    <mergeCell ref="O46:O47"/>
    <mergeCell ref="P46:P47"/>
    <mergeCell ref="Q46:Q47"/>
    <mergeCell ref="C46:C47"/>
    <mergeCell ref="D46:D47"/>
    <mergeCell ref="E46:E47"/>
    <mergeCell ref="J44:J45"/>
    <mergeCell ref="K44:K45"/>
    <mergeCell ref="L44:L45"/>
    <mergeCell ref="M44:M45"/>
    <mergeCell ref="F42:F43"/>
    <mergeCell ref="G42:G43"/>
    <mergeCell ref="H42:H43"/>
    <mergeCell ref="I42:I43"/>
    <mergeCell ref="J42:J43"/>
    <mergeCell ref="K42:K43"/>
    <mergeCell ref="C40:C41"/>
    <mergeCell ref="C42:C43"/>
    <mergeCell ref="C44:C45"/>
    <mergeCell ref="J46:J47"/>
    <mergeCell ref="K46:K47"/>
    <mergeCell ref="L42:L43"/>
    <mergeCell ref="M42:M43"/>
    <mergeCell ref="F44:F45"/>
    <mergeCell ref="G44:G45"/>
    <mergeCell ref="H44:H45"/>
    <mergeCell ref="I44:I45"/>
    <mergeCell ref="G40:G41"/>
    <mergeCell ref="H40:H41"/>
    <mergeCell ref="I40:I41"/>
    <mergeCell ref="J40:J41"/>
    <mergeCell ref="K40:K41"/>
    <mergeCell ref="L40:L41"/>
    <mergeCell ref="M40:M41"/>
    <mergeCell ref="F40:F4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D906-EED8-4ADB-9DF6-F3907A466C69}">
  <dimension ref="A1:R47"/>
  <sheetViews>
    <sheetView topLeftCell="A18" workbookViewId="0">
      <selection activeCell="U44" sqref="U44"/>
    </sheetView>
  </sheetViews>
  <sheetFormatPr defaultRowHeight="15"/>
  <cols>
    <col min="3" max="3" width="8.375" customWidth="1"/>
  </cols>
  <sheetData>
    <row r="1" spans="1:18" ht="48" customHeight="1">
      <c r="A1" s="76" t="s">
        <v>376</v>
      </c>
      <c r="B1" s="77"/>
      <c r="C1" s="76" t="s">
        <v>322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8"/>
    </row>
    <row r="2" spans="1:18" ht="15" customHeight="1">
      <c r="A2" s="71" t="s">
        <v>199</v>
      </c>
      <c r="B2" s="71" t="s">
        <v>200</v>
      </c>
      <c r="C2" s="69" t="s">
        <v>377</v>
      </c>
      <c r="D2" s="69" t="s">
        <v>378</v>
      </c>
      <c r="E2" s="69" t="s">
        <v>578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18" ht="15" customHeight="1">
      <c r="A3" s="71"/>
      <c r="B3" s="71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 spans="1:18" ht="15" customHeight="1">
      <c r="A4" s="71"/>
      <c r="B4" s="71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 spans="1:18" ht="16.2" customHeight="1">
      <c r="A5" s="71"/>
      <c r="B5" s="71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</row>
    <row r="6" spans="1:18" ht="16.2">
      <c r="A6" s="71"/>
      <c r="B6" s="71"/>
      <c r="C6" s="79" t="s">
        <v>308</v>
      </c>
      <c r="D6" s="79"/>
      <c r="E6" s="16" t="s">
        <v>309</v>
      </c>
      <c r="F6" s="16" t="s">
        <v>310</v>
      </c>
      <c r="G6" s="16" t="s">
        <v>311</v>
      </c>
      <c r="H6" s="16" t="s">
        <v>312</v>
      </c>
      <c r="I6" s="16" t="s">
        <v>313</v>
      </c>
      <c r="J6" s="16" t="s">
        <v>314</v>
      </c>
      <c r="K6" s="16" t="s">
        <v>315</v>
      </c>
      <c r="L6" s="16" t="s">
        <v>316</v>
      </c>
      <c r="M6" s="16" t="s">
        <v>317</v>
      </c>
      <c r="N6" s="16" t="s">
        <v>318</v>
      </c>
      <c r="O6" s="16" t="s">
        <v>319</v>
      </c>
      <c r="P6" s="16" t="s">
        <v>368</v>
      </c>
      <c r="Q6" s="16" t="s">
        <v>369</v>
      </c>
      <c r="R6" s="16" t="s">
        <v>370</v>
      </c>
    </row>
    <row r="7" spans="1:18" ht="16.2">
      <c r="A7" s="7" t="s">
        <v>212</v>
      </c>
      <c r="B7" s="17">
        <v>3</v>
      </c>
      <c r="C7" s="19" t="s">
        <v>379</v>
      </c>
      <c r="D7" s="19">
        <v>0</v>
      </c>
      <c r="E7" s="19" t="s">
        <v>381</v>
      </c>
      <c r="F7" s="19" t="s">
        <v>383</v>
      </c>
      <c r="G7" s="19" t="s">
        <v>114</v>
      </c>
      <c r="H7" s="19" t="s">
        <v>108</v>
      </c>
      <c r="I7" s="19" t="s">
        <v>100</v>
      </c>
      <c r="J7" s="19"/>
      <c r="K7" s="19" t="s">
        <v>109</v>
      </c>
      <c r="L7" s="19"/>
      <c r="M7" s="19" t="s">
        <v>90</v>
      </c>
      <c r="N7" s="19"/>
      <c r="O7" s="19" t="s">
        <v>137</v>
      </c>
      <c r="P7" s="19" t="s">
        <v>102</v>
      </c>
      <c r="Q7" s="19" t="s">
        <v>401</v>
      </c>
      <c r="R7" s="19" t="s">
        <v>385</v>
      </c>
    </row>
    <row r="8" spans="1:18" ht="16.2">
      <c r="A8" s="7">
        <v>3</v>
      </c>
      <c r="B8" s="17">
        <v>6</v>
      </c>
      <c r="C8" s="19" t="s">
        <v>380</v>
      </c>
      <c r="D8" s="19">
        <v>0</v>
      </c>
      <c r="E8" s="19" t="s">
        <v>383</v>
      </c>
      <c r="F8" s="19" t="s">
        <v>126</v>
      </c>
      <c r="G8" s="19" t="s">
        <v>127</v>
      </c>
      <c r="H8" s="19" t="s">
        <v>128</v>
      </c>
      <c r="I8" s="19" t="s">
        <v>407</v>
      </c>
      <c r="J8" s="19"/>
      <c r="K8" s="19" t="s">
        <v>110</v>
      </c>
      <c r="L8" s="19"/>
      <c r="M8" s="19" t="s">
        <v>111</v>
      </c>
      <c r="N8" s="19"/>
      <c r="O8" s="19" t="s">
        <v>112</v>
      </c>
      <c r="P8" s="19" t="s">
        <v>408</v>
      </c>
      <c r="Q8" s="19" t="s">
        <v>548</v>
      </c>
      <c r="R8" s="19" t="s">
        <v>386</v>
      </c>
    </row>
    <row r="9" spans="1:18" ht="16.2">
      <c r="A9" s="7">
        <v>6</v>
      </c>
      <c r="B9" s="17">
        <v>10</v>
      </c>
      <c r="C9" s="19" t="s">
        <v>380</v>
      </c>
      <c r="D9" s="19">
        <v>0</v>
      </c>
      <c r="E9" s="19" t="s">
        <v>387</v>
      </c>
      <c r="F9" s="19" t="s">
        <v>108</v>
      </c>
      <c r="G9" s="19" t="s">
        <v>128</v>
      </c>
      <c r="H9" s="19" t="s">
        <v>407</v>
      </c>
      <c r="I9" s="19" t="s">
        <v>110</v>
      </c>
      <c r="J9" s="19"/>
      <c r="K9" s="19" t="s">
        <v>111</v>
      </c>
      <c r="L9" s="19"/>
      <c r="M9" s="19" t="s">
        <v>84</v>
      </c>
      <c r="N9" s="19"/>
      <c r="O9" s="19" t="s">
        <v>408</v>
      </c>
      <c r="P9" s="19" t="s">
        <v>409</v>
      </c>
      <c r="Q9" s="19" t="s">
        <v>549</v>
      </c>
      <c r="R9" s="19" t="s">
        <v>525</v>
      </c>
    </row>
    <row r="10" spans="1:18" ht="16.2">
      <c r="A10" s="7">
        <v>10</v>
      </c>
      <c r="B10" s="17">
        <v>14</v>
      </c>
      <c r="C10" s="74" t="s">
        <v>380</v>
      </c>
      <c r="D10" s="74">
        <v>0</v>
      </c>
      <c r="E10" s="74" t="s">
        <v>388</v>
      </c>
      <c r="F10" s="20" t="s">
        <v>127</v>
      </c>
      <c r="G10" s="20" t="s">
        <v>109</v>
      </c>
      <c r="H10" s="20" t="s">
        <v>110</v>
      </c>
      <c r="I10" s="20" t="s">
        <v>111</v>
      </c>
      <c r="J10" s="20"/>
      <c r="K10" s="20" t="s">
        <v>145</v>
      </c>
      <c r="L10" s="19"/>
      <c r="M10" s="19" t="s">
        <v>92</v>
      </c>
      <c r="N10" s="19"/>
      <c r="O10" s="19" t="s">
        <v>93</v>
      </c>
      <c r="P10" s="19" t="s">
        <v>411</v>
      </c>
      <c r="Q10" s="19" t="s">
        <v>550</v>
      </c>
      <c r="R10" s="19" t="s">
        <v>526</v>
      </c>
    </row>
    <row r="11" spans="1:18" ht="16.2">
      <c r="A11" s="7">
        <v>14</v>
      </c>
      <c r="B11" s="17">
        <v>18</v>
      </c>
      <c r="C11" s="74"/>
      <c r="D11" s="74"/>
      <c r="E11" s="74"/>
      <c r="F11" s="21"/>
      <c r="G11" s="21"/>
      <c r="H11" s="21"/>
      <c r="I11" s="21"/>
      <c r="J11" s="21"/>
      <c r="K11" s="21"/>
      <c r="L11" s="19" t="s">
        <v>147</v>
      </c>
      <c r="M11" s="19" t="s">
        <v>412</v>
      </c>
      <c r="N11" s="19"/>
      <c r="O11" s="19" t="s">
        <v>71</v>
      </c>
      <c r="P11" s="19" t="s">
        <v>413</v>
      </c>
      <c r="Q11" s="19" t="s">
        <v>551</v>
      </c>
      <c r="R11" s="19" t="s">
        <v>527</v>
      </c>
    </row>
    <row r="12" spans="1:18" ht="16.2">
      <c r="A12" s="7">
        <v>18</v>
      </c>
      <c r="B12" s="17">
        <v>24</v>
      </c>
      <c r="C12" s="74" t="s">
        <v>381</v>
      </c>
      <c r="D12" s="74">
        <v>0</v>
      </c>
      <c r="E12" s="74" t="s">
        <v>389</v>
      </c>
      <c r="F12" s="20" t="s">
        <v>128</v>
      </c>
      <c r="G12" s="20" t="s">
        <v>135</v>
      </c>
      <c r="H12" s="20" t="s">
        <v>111</v>
      </c>
      <c r="I12" s="20" t="s">
        <v>112</v>
      </c>
      <c r="J12" s="19"/>
      <c r="K12" s="19" t="s">
        <v>149</v>
      </c>
      <c r="L12" s="19" t="s">
        <v>150</v>
      </c>
      <c r="M12" s="19" t="s">
        <v>415</v>
      </c>
      <c r="N12" s="19" t="s">
        <v>416</v>
      </c>
      <c r="O12" s="19" t="s">
        <v>417</v>
      </c>
      <c r="P12" s="19" t="s">
        <v>123</v>
      </c>
      <c r="Q12" s="19" t="s">
        <v>552</v>
      </c>
      <c r="R12" s="19" t="s">
        <v>528</v>
      </c>
    </row>
    <row r="13" spans="1:18" ht="16.2">
      <c r="A13" s="7">
        <v>24</v>
      </c>
      <c r="B13" s="17">
        <v>30</v>
      </c>
      <c r="C13" s="74"/>
      <c r="D13" s="74"/>
      <c r="E13" s="74"/>
      <c r="F13" s="21"/>
      <c r="G13" s="21"/>
      <c r="H13" s="21"/>
      <c r="I13" s="21"/>
      <c r="J13" s="19" t="s">
        <v>149</v>
      </c>
      <c r="K13" s="19" t="s">
        <v>402</v>
      </c>
      <c r="L13" s="19" t="s">
        <v>151</v>
      </c>
      <c r="M13" s="19" t="s">
        <v>411</v>
      </c>
      <c r="N13" s="19" t="s">
        <v>419</v>
      </c>
      <c r="O13" s="19" t="s">
        <v>420</v>
      </c>
      <c r="P13" s="19" t="s">
        <v>421</v>
      </c>
      <c r="Q13" s="19" t="s">
        <v>553</v>
      </c>
      <c r="R13" s="19" t="s">
        <v>529</v>
      </c>
    </row>
    <row r="14" spans="1:18" ht="16.2">
      <c r="A14" s="7">
        <v>30</v>
      </c>
      <c r="B14" s="17">
        <v>40</v>
      </c>
      <c r="C14" s="74" t="s">
        <v>381</v>
      </c>
      <c r="D14" s="74">
        <v>0</v>
      </c>
      <c r="E14" s="74" t="s">
        <v>390</v>
      </c>
      <c r="F14" s="20" t="s">
        <v>134</v>
      </c>
      <c r="G14" s="20" t="s">
        <v>137</v>
      </c>
      <c r="H14" s="20" t="s">
        <v>84</v>
      </c>
      <c r="I14" s="20" t="s">
        <v>118</v>
      </c>
      <c r="J14" s="19" t="s">
        <v>402</v>
      </c>
      <c r="K14" s="19" t="s">
        <v>71</v>
      </c>
      <c r="L14" s="19" t="s">
        <v>120</v>
      </c>
      <c r="M14" s="19" t="s">
        <v>73</v>
      </c>
      <c r="N14" s="19" t="s">
        <v>423</v>
      </c>
      <c r="O14" s="19" t="s">
        <v>424</v>
      </c>
      <c r="P14" s="19" t="s">
        <v>425</v>
      </c>
      <c r="Q14" s="19" t="s">
        <v>554</v>
      </c>
      <c r="R14" s="19" t="s">
        <v>530</v>
      </c>
    </row>
    <row r="15" spans="1:18" ht="16.2">
      <c r="A15" s="7">
        <v>40</v>
      </c>
      <c r="B15" s="17">
        <v>50</v>
      </c>
      <c r="C15" s="74"/>
      <c r="D15" s="74"/>
      <c r="E15" s="74"/>
      <c r="F15" s="21"/>
      <c r="G15" s="21"/>
      <c r="H15" s="21"/>
      <c r="I15" s="21"/>
      <c r="J15" s="19" t="s">
        <v>415</v>
      </c>
      <c r="K15" s="19" t="s">
        <v>72</v>
      </c>
      <c r="L15" s="19" t="s">
        <v>427</v>
      </c>
      <c r="M15" s="19" t="s">
        <v>410</v>
      </c>
      <c r="N15" s="19" t="s">
        <v>428</v>
      </c>
      <c r="O15" s="19" t="s">
        <v>418</v>
      </c>
      <c r="P15" s="19" t="s">
        <v>57</v>
      </c>
      <c r="Q15" s="19" t="s">
        <v>555</v>
      </c>
      <c r="R15" s="19" t="s">
        <v>531</v>
      </c>
    </row>
    <row r="16" spans="1:18" ht="16.2">
      <c r="A16" s="7">
        <v>50</v>
      </c>
      <c r="B16" s="17">
        <v>65</v>
      </c>
      <c r="C16" s="74" t="s">
        <v>381</v>
      </c>
      <c r="D16" s="74">
        <v>0</v>
      </c>
      <c r="E16" s="74" t="s">
        <v>391</v>
      </c>
      <c r="F16" s="20" t="s">
        <v>90</v>
      </c>
      <c r="G16" s="20" t="s">
        <v>102</v>
      </c>
      <c r="H16" s="19" t="s">
        <v>149</v>
      </c>
      <c r="I16" s="19" t="s">
        <v>429</v>
      </c>
      <c r="J16" s="19" t="s">
        <v>152</v>
      </c>
      <c r="K16" s="19" t="s">
        <v>430</v>
      </c>
      <c r="L16" s="19" t="s">
        <v>431</v>
      </c>
      <c r="M16" s="19" t="s">
        <v>432</v>
      </c>
      <c r="N16" s="19" t="s">
        <v>433</v>
      </c>
      <c r="O16" s="19" t="s">
        <v>434</v>
      </c>
      <c r="P16" s="19" t="s">
        <v>435</v>
      </c>
      <c r="Q16" s="19" t="s">
        <v>556</v>
      </c>
      <c r="R16" s="19" t="s">
        <v>532</v>
      </c>
    </row>
    <row r="17" spans="1:18" ht="16.2">
      <c r="A17" s="7">
        <v>65</v>
      </c>
      <c r="B17" s="17">
        <v>80</v>
      </c>
      <c r="C17" s="74"/>
      <c r="D17" s="74"/>
      <c r="E17" s="74"/>
      <c r="F17" s="21"/>
      <c r="G17" s="21"/>
      <c r="H17" s="19" t="s">
        <v>118</v>
      </c>
      <c r="I17" s="19" t="s">
        <v>436</v>
      </c>
      <c r="J17" s="19" t="s">
        <v>419</v>
      </c>
      <c r="K17" s="19" t="s">
        <v>431</v>
      </c>
      <c r="L17" s="19" t="s">
        <v>76</v>
      </c>
      <c r="M17" s="19" t="s">
        <v>437</v>
      </c>
      <c r="N17" s="19" t="s">
        <v>438</v>
      </c>
      <c r="O17" s="19" t="s">
        <v>78</v>
      </c>
      <c r="P17" s="19" t="s">
        <v>426</v>
      </c>
      <c r="Q17" s="19" t="s">
        <v>557</v>
      </c>
      <c r="R17" s="19" t="s">
        <v>533</v>
      </c>
    </row>
    <row r="18" spans="1:18" ht="16.2">
      <c r="A18" s="7">
        <v>80</v>
      </c>
      <c r="B18" s="17">
        <v>100</v>
      </c>
      <c r="C18" s="74" t="s">
        <v>382</v>
      </c>
      <c r="D18" s="74">
        <v>0</v>
      </c>
      <c r="E18" s="74" t="s">
        <v>392</v>
      </c>
      <c r="F18" s="20" t="s">
        <v>110</v>
      </c>
      <c r="G18" s="20" t="s">
        <v>439</v>
      </c>
      <c r="H18" s="19" t="s">
        <v>440</v>
      </c>
      <c r="I18" s="19" t="s">
        <v>441</v>
      </c>
      <c r="J18" s="19" t="s">
        <v>442</v>
      </c>
      <c r="K18" s="19" t="s">
        <v>443</v>
      </c>
      <c r="L18" s="19" t="s">
        <v>437</v>
      </c>
      <c r="M18" s="19" t="s">
        <v>444</v>
      </c>
      <c r="N18" s="19" t="s">
        <v>445</v>
      </c>
      <c r="O18" s="19" t="s">
        <v>446</v>
      </c>
      <c r="P18" s="19" t="s">
        <v>447</v>
      </c>
      <c r="Q18" s="19" t="s">
        <v>558</v>
      </c>
      <c r="R18" s="19" t="s">
        <v>534</v>
      </c>
    </row>
    <row r="19" spans="1:18" ht="16.2">
      <c r="A19" s="7">
        <v>100</v>
      </c>
      <c r="B19" s="17">
        <v>120</v>
      </c>
      <c r="C19" s="74"/>
      <c r="D19" s="74"/>
      <c r="E19" s="74"/>
      <c r="F19" s="21"/>
      <c r="G19" s="21"/>
      <c r="H19" s="19" t="s">
        <v>415</v>
      </c>
      <c r="I19" s="19" t="s">
        <v>448</v>
      </c>
      <c r="J19" s="19" t="s">
        <v>449</v>
      </c>
      <c r="K19" s="19" t="s">
        <v>433</v>
      </c>
      <c r="L19" s="19" t="s">
        <v>434</v>
      </c>
      <c r="M19" s="19" t="s">
        <v>78</v>
      </c>
      <c r="N19" s="19" t="s">
        <v>450</v>
      </c>
      <c r="O19" s="19" t="s">
        <v>35</v>
      </c>
      <c r="P19" s="19" t="s">
        <v>81</v>
      </c>
      <c r="Q19" s="19" t="s">
        <v>559</v>
      </c>
      <c r="R19" s="19" t="s">
        <v>535</v>
      </c>
    </row>
    <row r="20" spans="1:18" ht="16.2">
      <c r="A20" s="7">
        <v>120</v>
      </c>
      <c r="B20" s="17">
        <v>140</v>
      </c>
      <c r="C20" s="74" t="s">
        <v>382</v>
      </c>
      <c r="D20" s="74">
        <v>0</v>
      </c>
      <c r="E20" s="74" t="s">
        <v>393</v>
      </c>
      <c r="F20" s="72" t="s">
        <v>452</v>
      </c>
      <c r="G20" s="72" t="s">
        <v>118</v>
      </c>
      <c r="H20" s="19" t="s">
        <v>416</v>
      </c>
      <c r="I20" s="19" t="s">
        <v>453</v>
      </c>
      <c r="J20" s="19" t="s">
        <v>432</v>
      </c>
      <c r="K20" s="19" t="s">
        <v>56</v>
      </c>
      <c r="L20" s="19" t="s">
        <v>454</v>
      </c>
      <c r="M20" s="19" t="s">
        <v>455</v>
      </c>
      <c r="N20" s="19" t="s">
        <v>34</v>
      </c>
      <c r="O20" s="19" t="s">
        <v>456</v>
      </c>
      <c r="P20" s="19" t="s">
        <v>457</v>
      </c>
      <c r="Q20" s="19" t="s">
        <v>560</v>
      </c>
      <c r="R20" s="19" t="s">
        <v>536</v>
      </c>
    </row>
    <row r="21" spans="1:18" ht="16.2">
      <c r="A21" s="7">
        <v>140</v>
      </c>
      <c r="B21" s="17">
        <v>160</v>
      </c>
      <c r="C21" s="74"/>
      <c r="D21" s="74"/>
      <c r="E21" s="74"/>
      <c r="F21" s="75"/>
      <c r="G21" s="75"/>
      <c r="H21" s="19" t="s">
        <v>94</v>
      </c>
      <c r="I21" s="19" t="s">
        <v>88</v>
      </c>
      <c r="J21" s="19" t="s">
        <v>459</v>
      </c>
      <c r="K21" s="19" t="s">
        <v>58</v>
      </c>
      <c r="L21" s="19" t="s">
        <v>460</v>
      </c>
      <c r="M21" s="19" t="s">
        <v>32</v>
      </c>
      <c r="N21" s="19" t="s">
        <v>37</v>
      </c>
      <c r="O21" s="19" t="s">
        <v>461</v>
      </c>
      <c r="P21" s="19" t="s">
        <v>462</v>
      </c>
      <c r="Q21" s="19" t="s">
        <v>561</v>
      </c>
      <c r="R21" s="19" t="s">
        <v>537</v>
      </c>
    </row>
    <row r="22" spans="1:18" ht="16.2">
      <c r="A22" s="7">
        <v>160</v>
      </c>
      <c r="B22" s="17">
        <v>180</v>
      </c>
      <c r="C22" s="74"/>
      <c r="D22" s="74"/>
      <c r="E22" s="74"/>
      <c r="F22" s="73"/>
      <c r="G22" s="73"/>
      <c r="H22" s="19" t="s">
        <v>120</v>
      </c>
      <c r="I22" s="19" t="s">
        <v>414</v>
      </c>
      <c r="J22" s="19" t="s">
        <v>437</v>
      </c>
      <c r="K22" s="19" t="s">
        <v>78</v>
      </c>
      <c r="L22" s="19" t="s">
        <v>464</v>
      </c>
      <c r="M22" s="19" t="s">
        <v>35</v>
      </c>
      <c r="N22" s="19" t="s">
        <v>39</v>
      </c>
      <c r="O22" s="19" t="s">
        <v>465</v>
      </c>
      <c r="P22" s="19" t="s">
        <v>66</v>
      </c>
      <c r="Q22" s="19" t="s">
        <v>562</v>
      </c>
      <c r="R22" s="19" t="s">
        <v>538</v>
      </c>
    </row>
    <row r="23" spans="1:18" ht="16.2">
      <c r="A23" s="7">
        <v>180</v>
      </c>
      <c r="B23" s="17">
        <v>200</v>
      </c>
      <c r="C23" s="74" t="s">
        <v>383</v>
      </c>
      <c r="D23" s="74">
        <v>0</v>
      </c>
      <c r="E23" s="74" t="s">
        <v>394</v>
      </c>
      <c r="F23" s="72" t="s">
        <v>468</v>
      </c>
      <c r="G23" s="72" t="s">
        <v>93</v>
      </c>
      <c r="H23" s="19" t="s">
        <v>413</v>
      </c>
      <c r="I23" s="19" t="s">
        <v>432</v>
      </c>
      <c r="J23" s="19" t="s">
        <v>469</v>
      </c>
      <c r="K23" s="19" t="s">
        <v>470</v>
      </c>
      <c r="L23" s="19" t="s">
        <v>471</v>
      </c>
      <c r="M23" s="19" t="s">
        <v>96</v>
      </c>
      <c r="N23" s="19" t="s">
        <v>472</v>
      </c>
      <c r="O23" s="19" t="s">
        <v>42</v>
      </c>
      <c r="P23" s="19" t="s">
        <v>473</v>
      </c>
      <c r="Q23" s="19" t="s">
        <v>563</v>
      </c>
      <c r="R23" s="19" t="s">
        <v>539</v>
      </c>
    </row>
    <row r="24" spans="1:18" ht="16.2">
      <c r="A24" s="7">
        <v>200</v>
      </c>
      <c r="B24" s="17">
        <v>225</v>
      </c>
      <c r="C24" s="74"/>
      <c r="D24" s="74"/>
      <c r="E24" s="74"/>
      <c r="F24" s="75"/>
      <c r="G24" s="75"/>
      <c r="H24" s="19" t="s">
        <v>73</v>
      </c>
      <c r="I24" s="19" t="s">
        <v>77</v>
      </c>
      <c r="J24" s="19" t="s">
        <v>57</v>
      </c>
      <c r="K24" s="19" t="s">
        <v>446</v>
      </c>
      <c r="L24" s="19" t="s">
        <v>35</v>
      </c>
      <c r="M24" s="19" t="s">
        <v>475</v>
      </c>
      <c r="N24" s="19" t="s">
        <v>457</v>
      </c>
      <c r="O24" s="19" t="s">
        <v>476</v>
      </c>
      <c r="P24" s="19" t="s">
        <v>45</v>
      </c>
      <c r="Q24" s="19" t="s">
        <v>564</v>
      </c>
      <c r="R24" s="19" t="s">
        <v>540</v>
      </c>
    </row>
    <row r="25" spans="1:18" ht="16.2">
      <c r="A25" s="7">
        <v>225</v>
      </c>
      <c r="B25" s="17">
        <v>250</v>
      </c>
      <c r="C25" s="74"/>
      <c r="D25" s="74"/>
      <c r="E25" s="74"/>
      <c r="F25" s="73"/>
      <c r="G25" s="73"/>
      <c r="H25" s="19" t="s">
        <v>479</v>
      </c>
      <c r="I25" s="19" t="s">
        <v>53</v>
      </c>
      <c r="J25" s="19" t="s">
        <v>480</v>
      </c>
      <c r="K25" s="19" t="s">
        <v>471</v>
      </c>
      <c r="L25" s="19" t="s">
        <v>37</v>
      </c>
      <c r="M25" s="19" t="s">
        <v>472</v>
      </c>
      <c r="N25" s="19" t="s">
        <v>42</v>
      </c>
      <c r="O25" s="19" t="s">
        <v>481</v>
      </c>
      <c r="P25" s="19" t="s">
        <v>46</v>
      </c>
      <c r="Q25" s="19" t="s">
        <v>565</v>
      </c>
      <c r="R25" s="19" t="s">
        <v>541</v>
      </c>
    </row>
    <row r="26" spans="1:18" ht="16.2">
      <c r="A26" s="7">
        <v>250</v>
      </c>
      <c r="B26" s="17">
        <v>280</v>
      </c>
      <c r="C26" s="74" t="s">
        <v>383</v>
      </c>
      <c r="D26" s="74">
        <v>0</v>
      </c>
      <c r="E26" s="74" t="s">
        <v>395</v>
      </c>
      <c r="F26" s="72" t="s">
        <v>84</v>
      </c>
      <c r="G26" s="72" t="s">
        <v>86</v>
      </c>
      <c r="H26" s="19" t="s">
        <v>423</v>
      </c>
      <c r="I26" s="19" t="s">
        <v>484</v>
      </c>
      <c r="J26" s="19" t="s">
        <v>422</v>
      </c>
      <c r="K26" s="19" t="s">
        <v>485</v>
      </c>
      <c r="L26" s="19" t="s">
        <v>475</v>
      </c>
      <c r="M26" s="19" t="s">
        <v>486</v>
      </c>
      <c r="N26" s="19" t="s">
        <v>43</v>
      </c>
      <c r="O26" s="19" t="s">
        <v>487</v>
      </c>
      <c r="P26" s="19" t="s">
        <v>47</v>
      </c>
      <c r="Q26" s="19" t="s">
        <v>566</v>
      </c>
      <c r="R26" s="19" t="s">
        <v>542</v>
      </c>
    </row>
    <row r="27" spans="1:18" ht="16.2">
      <c r="A27" s="7">
        <v>280</v>
      </c>
      <c r="B27" s="17">
        <v>315</v>
      </c>
      <c r="C27" s="74"/>
      <c r="D27" s="74"/>
      <c r="E27" s="74"/>
      <c r="F27" s="73"/>
      <c r="G27" s="73"/>
      <c r="H27" s="19" t="s">
        <v>123</v>
      </c>
      <c r="I27" s="19" t="s">
        <v>56</v>
      </c>
      <c r="J27" s="19" t="s">
        <v>61</v>
      </c>
      <c r="K27" s="19" t="s">
        <v>96</v>
      </c>
      <c r="L27" s="19" t="s">
        <v>472</v>
      </c>
      <c r="M27" s="19" t="s">
        <v>451</v>
      </c>
      <c r="N27" s="19" t="s">
        <v>489</v>
      </c>
      <c r="O27" s="19" t="s">
        <v>490</v>
      </c>
      <c r="P27" s="19" t="s">
        <v>467</v>
      </c>
      <c r="Q27" s="19" t="s">
        <v>567</v>
      </c>
      <c r="R27" s="19" t="s">
        <v>543</v>
      </c>
    </row>
    <row r="28" spans="1:18" ht="16.2">
      <c r="A28" s="7">
        <v>315</v>
      </c>
      <c r="B28" s="17">
        <v>355</v>
      </c>
      <c r="C28" s="74" t="s">
        <v>383</v>
      </c>
      <c r="D28" s="74">
        <v>0</v>
      </c>
      <c r="E28" s="74" t="s">
        <v>396</v>
      </c>
      <c r="F28" s="20" t="s">
        <v>439</v>
      </c>
      <c r="G28" s="20" t="s">
        <v>119</v>
      </c>
      <c r="H28" s="19" t="s">
        <v>414</v>
      </c>
      <c r="I28" s="19" t="s">
        <v>58</v>
      </c>
      <c r="J28" s="19" t="s">
        <v>492</v>
      </c>
      <c r="K28" s="19" t="s">
        <v>97</v>
      </c>
      <c r="L28" s="19" t="s">
        <v>486</v>
      </c>
      <c r="M28" s="19" t="s">
        <v>493</v>
      </c>
      <c r="N28" s="19" t="s">
        <v>494</v>
      </c>
      <c r="O28" s="19" t="s">
        <v>463</v>
      </c>
      <c r="P28" s="19" t="s">
        <v>474</v>
      </c>
      <c r="Q28" s="19" t="s">
        <v>568</v>
      </c>
      <c r="R28" s="19" t="s">
        <v>544</v>
      </c>
    </row>
    <row r="29" spans="1:18" ht="16.2">
      <c r="A29" s="7">
        <v>355</v>
      </c>
      <c r="B29" s="17">
        <v>400</v>
      </c>
      <c r="C29" s="74"/>
      <c r="D29" s="74"/>
      <c r="E29" s="74"/>
      <c r="F29" s="21"/>
      <c r="G29" s="21"/>
      <c r="H29" s="19" t="s">
        <v>428</v>
      </c>
      <c r="I29" s="19" t="s">
        <v>497</v>
      </c>
      <c r="J29" s="19" t="s">
        <v>498</v>
      </c>
      <c r="K29" s="19" t="s">
        <v>499</v>
      </c>
      <c r="L29" s="19" t="s">
        <v>500</v>
      </c>
      <c r="M29" s="19" t="s">
        <v>44</v>
      </c>
      <c r="N29" s="19" t="s">
        <v>46</v>
      </c>
      <c r="O29" s="19" t="s">
        <v>467</v>
      </c>
      <c r="P29" s="19" t="s">
        <v>491</v>
      </c>
      <c r="Q29" s="19" t="s">
        <v>569</v>
      </c>
      <c r="R29" s="19" t="s">
        <v>545</v>
      </c>
    </row>
    <row r="30" spans="1:18" ht="16.2">
      <c r="A30" s="7">
        <v>400</v>
      </c>
      <c r="B30" s="17">
        <v>450</v>
      </c>
      <c r="C30" s="74" t="s">
        <v>384</v>
      </c>
      <c r="D30" s="74">
        <v>0</v>
      </c>
      <c r="E30" s="74" t="s">
        <v>397</v>
      </c>
      <c r="F30" s="20" t="s">
        <v>92</v>
      </c>
      <c r="G30" s="20" t="s">
        <v>120</v>
      </c>
      <c r="H30" s="19" t="s">
        <v>503</v>
      </c>
      <c r="I30" s="19" t="s">
        <v>504</v>
      </c>
      <c r="J30" s="19" t="s">
        <v>80</v>
      </c>
      <c r="K30" s="19" t="s">
        <v>505</v>
      </c>
      <c r="L30" s="19" t="s">
        <v>506</v>
      </c>
      <c r="M30" s="19" t="s">
        <v>45</v>
      </c>
      <c r="N30" s="19" t="s">
        <v>47</v>
      </c>
      <c r="O30" s="19" t="s">
        <v>507</v>
      </c>
      <c r="P30" s="19" t="s">
        <v>508</v>
      </c>
      <c r="Q30" s="19" t="s">
        <v>570</v>
      </c>
      <c r="R30" s="19" t="s">
        <v>546</v>
      </c>
    </row>
    <row r="31" spans="1:18" ht="16.2">
      <c r="A31" s="7">
        <v>450</v>
      </c>
      <c r="B31" s="17">
        <v>500</v>
      </c>
      <c r="C31" s="74"/>
      <c r="D31" s="74"/>
      <c r="E31" s="74"/>
      <c r="F31" s="21"/>
      <c r="G31" s="21"/>
      <c r="H31" s="19" t="s">
        <v>510</v>
      </c>
      <c r="I31" s="19" t="s">
        <v>464</v>
      </c>
      <c r="J31" s="19" t="s">
        <v>38</v>
      </c>
      <c r="K31" s="19" t="s">
        <v>65</v>
      </c>
      <c r="L31" s="19" t="s">
        <v>44</v>
      </c>
      <c r="M31" s="19" t="s">
        <v>46</v>
      </c>
      <c r="N31" s="19" t="s">
        <v>467</v>
      </c>
      <c r="O31" s="19" t="s">
        <v>478</v>
      </c>
      <c r="P31" s="19" t="s">
        <v>511</v>
      </c>
      <c r="Q31" s="19" t="s">
        <v>545</v>
      </c>
      <c r="R31" s="19" t="s">
        <v>547</v>
      </c>
    </row>
    <row r="32" spans="1:18" ht="16.2">
      <c r="A32" s="7">
        <v>500</v>
      </c>
      <c r="B32" s="17">
        <v>560</v>
      </c>
      <c r="C32" s="74">
        <v>0</v>
      </c>
      <c r="D32" s="74">
        <v>0</v>
      </c>
      <c r="E32" s="74" t="s">
        <v>398</v>
      </c>
      <c r="F32" s="20" t="s">
        <v>512</v>
      </c>
      <c r="G32" s="20" t="s">
        <v>513</v>
      </c>
      <c r="H32" s="19" t="s">
        <v>54</v>
      </c>
      <c r="I32" s="19" t="s">
        <v>32</v>
      </c>
      <c r="J32" s="19" t="s">
        <v>81</v>
      </c>
      <c r="K32" s="19" t="s">
        <v>66</v>
      </c>
      <c r="L32" s="19"/>
      <c r="M32" s="19"/>
      <c r="N32" s="19"/>
      <c r="O32" s="19"/>
      <c r="P32" s="19"/>
      <c r="Q32" s="19"/>
      <c r="R32" s="19"/>
    </row>
    <row r="33" spans="1:18" ht="16.2">
      <c r="A33" s="7">
        <v>560</v>
      </c>
      <c r="B33" s="17">
        <v>630</v>
      </c>
      <c r="C33" s="74"/>
      <c r="D33" s="74"/>
      <c r="E33" s="74"/>
      <c r="F33" s="21"/>
      <c r="G33" s="21"/>
      <c r="H33" s="19" t="s">
        <v>514</v>
      </c>
      <c r="I33" s="19" t="s">
        <v>35</v>
      </c>
      <c r="J33" s="19" t="s">
        <v>515</v>
      </c>
      <c r="K33" s="19" t="s">
        <v>44</v>
      </c>
      <c r="L33" s="19"/>
      <c r="M33" s="19"/>
      <c r="N33" s="19"/>
      <c r="O33" s="19"/>
      <c r="P33" s="19"/>
      <c r="Q33" s="19"/>
      <c r="R33" s="19"/>
    </row>
    <row r="34" spans="1:18" ht="16.2">
      <c r="A34" s="7">
        <v>630</v>
      </c>
      <c r="B34" s="17">
        <v>710</v>
      </c>
      <c r="C34" s="74">
        <v>0</v>
      </c>
      <c r="D34" s="74">
        <v>0</v>
      </c>
      <c r="E34" s="74" t="s">
        <v>399</v>
      </c>
      <c r="F34" s="20" t="s">
        <v>93</v>
      </c>
      <c r="G34" s="20" t="s">
        <v>420</v>
      </c>
      <c r="H34" s="19" t="s">
        <v>516</v>
      </c>
      <c r="I34" s="19" t="s">
        <v>37</v>
      </c>
      <c r="J34" s="19" t="s">
        <v>517</v>
      </c>
      <c r="K34" s="19" t="s">
        <v>45</v>
      </c>
      <c r="L34" s="19"/>
      <c r="M34" s="19"/>
      <c r="N34" s="19"/>
      <c r="O34" s="19"/>
      <c r="P34" s="19"/>
      <c r="Q34" s="19"/>
      <c r="R34" s="19"/>
    </row>
    <row r="35" spans="1:18" ht="16.2">
      <c r="A35" s="7">
        <v>710</v>
      </c>
      <c r="B35" s="17">
        <v>800</v>
      </c>
      <c r="C35" s="74"/>
      <c r="D35" s="74"/>
      <c r="E35" s="74"/>
      <c r="F35" s="21"/>
      <c r="G35" s="21"/>
      <c r="H35" s="19" t="s">
        <v>518</v>
      </c>
      <c r="I35" s="19" t="s">
        <v>39</v>
      </c>
      <c r="J35" s="19" t="s">
        <v>519</v>
      </c>
      <c r="K35" s="19" t="s">
        <v>69</v>
      </c>
      <c r="L35" s="19"/>
      <c r="M35" s="19"/>
      <c r="N35" s="19"/>
      <c r="O35" s="19"/>
      <c r="P35" s="19"/>
      <c r="Q35" s="19"/>
      <c r="R35" s="19"/>
    </row>
    <row r="36" spans="1:18" ht="16.2">
      <c r="A36" s="7">
        <v>800</v>
      </c>
      <c r="B36" s="17">
        <v>900</v>
      </c>
      <c r="C36" s="74">
        <v>0</v>
      </c>
      <c r="D36" s="74">
        <v>0</v>
      </c>
      <c r="E36" s="74" t="s">
        <v>400</v>
      </c>
      <c r="F36" s="20" t="s">
        <v>86</v>
      </c>
      <c r="G36" s="20" t="s">
        <v>88</v>
      </c>
      <c r="H36" s="19" t="s">
        <v>78</v>
      </c>
      <c r="I36" s="19" t="s">
        <v>98</v>
      </c>
      <c r="J36" s="19" t="s">
        <v>458</v>
      </c>
      <c r="K36" s="19" t="s">
        <v>520</v>
      </c>
      <c r="L36" s="19"/>
      <c r="M36" s="19"/>
      <c r="N36" s="19"/>
      <c r="O36" s="19"/>
      <c r="P36" s="19"/>
      <c r="Q36" s="19"/>
      <c r="R36" s="19"/>
    </row>
    <row r="37" spans="1:18" ht="16.2">
      <c r="A37" s="7">
        <v>900</v>
      </c>
      <c r="B37" s="18">
        <v>1000</v>
      </c>
      <c r="C37" s="74"/>
      <c r="D37" s="74"/>
      <c r="E37" s="74"/>
      <c r="F37" s="21"/>
      <c r="G37" s="21"/>
      <c r="H37" s="19" t="s">
        <v>60</v>
      </c>
      <c r="I37" s="19" t="s">
        <v>457</v>
      </c>
      <c r="J37" s="19" t="s">
        <v>67</v>
      </c>
      <c r="K37" s="19" t="s">
        <v>482</v>
      </c>
      <c r="L37" s="19"/>
      <c r="M37" s="19"/>
      <c r="N37" s="19"/>
      <c r="O37" s="19"/>
      <c r="P37" s="19"/>
      <c r="Q37" s="19"/>
      <c r="R37" s="19"/>
    </row>
    <row r="38" spans="1:18" ht="16.2">
      <c r="A38" s="15">
        <v>1000</v>
      </c>
      <c r="B38" s="18">
        <v>1120</v>
      </c>
      <c r="C38" s="74">
        <v>0</v>
      </c>
      <c r="D38" s="74">
        <v>0</v>
      </c>
      <c r="E38" s="74" t="s">
        <v>401</v>
      </c>
      <c r="F38" s="20" t="s">
        <v>152</v>
      </c>
      <c r="G38" s="20" t="s">
        <v>76</v>
      </c>
      <c r="H38" s="19" t="s">
        <v>521</v>
      </c>
      <c r="I38" s="19" t="s">
        <v>42</v>
      </c>
      <c r="J38" s="19" t="s">
        <v>466</v>
      </c>
      <c r="K38" s="19" t="s">
        <v>474</v>
      </c>
      <c r="L38" s="19"/>
      <c r="M38" s="19"/>
      <c r="N38" s="19"/>
      <c r="O38" s="19"/>
      <c r="P38" s="19"/>
      <c r="Q38" s="19"/>
      <c r="R38" s="19"/>
    </row>
    <row r="39" spans="1:18" ht="16.2">
      <c r="A39" s="15">
        <v>1120</v>
      </c>
      <c r="B39" s="18">
        <v>1250</v>
      </c>
      <c r="C39" s="74"/>
      <c r="D39" s="74"/>
      <c r="E39" s="74"/>
      <c r="F39" s="21"/>
      <c r="G39" s="21"/>
      <c r="H39" s="19" t="s">
        <v>62</v>
      </c>
      <c r="I39" s="19" t="s">
        <v>43</v>
      </c>
      <c r="J39" s="19" t="s">
        <v>69</v>
      </c>
      <c r="K39" s="19" t="s">
        <v>491</v>
      </c>
      <c r="L39" s="19"/>
      <c r="M39" s="19"/>
      <c r="N39" s="19"/>
      <c r="O39" s="19"/>
      <c r="P39" s="19"/>
      <c r="Q39" s="19"/>
      <c r="R39" s="19"/>
    </row>
    <row r="40" spans="1:18" ht="16.2">
      <c r="A40" s="15">
        <v>1250</v>
      </c>
      <c r="B40" s="18">
        <v>1400</v>
      </c>
      <c r="C40" s="74">
        <v>0</v>
      </c>
      <c r="D40" s="74">
        <v>0</v>
      </c>
      <c r="E40" s="74" t="s">
        <v>403</v>
      </c>
      <c r="F40" s="20" t="s">
        <v>513</v>
      </c>
      <c r="G40" s="20" t="s">
        <v>53</v>
      </c>
      <c r="H40" s="19" t="s">
        <v>34</v>
      </c>
      <c r="I40" s="19" t="s">
        <v>481</v>
      </c>
      <c r="J40" s="19" t="s">
        <v>477</v>
      </c>
      <c r="K40" s="19" t="s">
        <v>508</v>
      </c>
      <c r="L40" s="19"/>
      <c r="M40" s="19"/>
      <c r="N40" s="19"/>
      <c r="O40" s="19"/>
      <c r="P40" s="19"/>
      <c r="Q40" s="19"/>
      <c r="R40" s="19"/>
    </row>
    <row r="41" spans="1:18" ht="16.2">
      <c r="A41" s="15">
        <v>1400</v>
      </c>
      <c r="B41" s="18">
        <v>1600</v>
      </c>
      <c r="C41" s="74"/>
      <c r="D41" s="74"/>
      <c r="E41" s="74"/>
      <c r="F41" s="21"/>
      <c r="G41" s="21"/>
      <c r="H41" s="19" t="s">
        <v>80</v>
      </c>
      <c r="I41" s="19" t="s">
        <v>522</v>
      </c>
      <c r="J41" s="19" t="s">
        <v>482</v>
      </c>
      <c r="K41" s="19" t="s">
        <v>511</v>
      </c>
      <c r="L41" s="19"/>
      <c r="M41" s="19"/>
      <c r="N41" s="19"/>
      <c r="O41" s="19"/>
      <c r="P41" s="19"/>
      <c r="Q41" s="19"/>
      <c r="R41" s="19"/>
    </row>
    <row r="42" spans="1:18" ht="16.2">
      <c r="A42" s="15">
        <v>1600</v>
      </c>
      <c r="B42" s="18">
        <v>1800</v>
      </c>
      <c r="C42" s="74">
        <v>0</v>
      </c>
      <c r="D42" s="74">
        <v>0</v>
      </c>
      <c r="E42" s="74" t="s">
        <v>404</v>
      </c>
      <c r="F42" s="20" t="s">
        <v>453</v>
      </c>
      <c r="G42" s="20" t="s">
        <v>56</v>
      </c>
      <c r="H42" s="19" t="s">
        <v>523</v>
      </c>
      <c r="I42" s="19" t="s">
        <v>46</v>
      </c>
      <c r="J42" s="19" t="s">
        <v>488</v>
      </c>
      <c r="K42" s="19" t="s">
        <v>509</v>
      </c>
      <c r="L42" s="19"/>
      <c r="M42" s="19"/>
      <c r="N42" s="19"/>
      <c r="O42" s="19"/>
      <c r="P42" s="19"/>
      <c r="Q42" s="19"/>
      <c r="R42" s="19"/>
    </row>
    <row r="43" spans="1:18" ht="16.2">
      <c r="A43" s="15">
        <v>1800</v>
      </c>
      <c r="B43" s="18">
        <v>2000</v>
      </c>
      <c r="C43" s="74"/>
      <c r="D43" s="74"/>
      <c r="E43" s="74"/>
      <c r="F43" s="21"/>
      <c r="G43" s="21"/>
      <c r="H43" s="19" t="s">
        <v>81</v>
      </c>
      <c r="I43" s="19" t="s">
        <v>47</v>
      </c>
      <c r="J43" s="19" t="s">
        <v>483</v>
      </c>
      <c r="K43" s="19" t="s">
        <v>524</v>
      </c>
      <c r="L43" s="19"/>
      <c r="M43" s="19"/>
      <c r="N43" s="19"/>
      <c r="O43" s="19"/>
      <c r="P43" s="19"/>
      <c r="Q43" s="19"/>
      <c r="R43" s="19"/>
    </row>
    <row r="44" spans="1:18" ht="16.2">
      <c r="A44" s="15">
        <v>2000</v>
      </c>
      <c r="B44" s="18">
        <v>2240</v>
      </c>
      <c r="C44" s="74">
        <v>0</v>
      </c>
      <c r="D44" s="74">
        <v>0</v>
      </c>
      <c r="E44" s="74" t="s">
        <v>405</v>
      </c>
      <c r="F44" s="20" t="s">
        <v>75</v>
      </c>
      <c r="G44" s="20" t="s">
        <v>106</v>
      </c>
      <c r="H44" s="19" t="s">
        <v>82</v>
      </c>
      <c r="I44" s="19" t="s">
        <v>467</v>
      </c>
      <c r="J44" s="19" t="s">
        <v>495</v>
      </c>
      <c r="K44" s="19" t="s">
        <v>574</v>
      </c>
      <c r="L44" s="19"/>
      <c r="M44" s="19"/>
      <c r="N44" s="19"/>
      <c r="O44" s="19"/>
      <c r="P44" s="19"/>
      <c r="Q44" s="19"/>
      <c r="R44" s="19"/>
    </row>
    <row r="45" spans="1:18" ht="16.2">
      <c r="A45" s="15">
        <v>2240</v>
      </c>
      <c r="B45" s="18">
        <v>2500</v>
      </c>
      <c r="C45" s="74"/>
      <c r="D45" s="74"/>
      <c r="E45" s="74"/>
      <c r="F45" s="21"/>
      <c r="G45" s="21"/>
      <c r="H45" s="19" t="s">
        <v>41</v>
      </c>
      <c r="I45" s="19" t="s">
        <v>507</v>
      </c>
      <c r="J45" s="19" t="s">
        <v>501</v>
      </c>
      <c r="K45" s="19" t="s">
        <v>575</v>
      </c>
      <c r="L45" s="19"/>
      <c r="M45" s="19"/>
      <c r="N45" s="19"/>
      <c r="O45" s="19"/>
      <c r="P45" s="19"/>
      <c r="Q45" s="19"/>
      <c r="R45" s="19"/>
    </row>
    <row r="46" spans="1:18" ht="16.2">
      <c r="A46" s="15">
        <v>2500</v>
      </c>
      <c r="B46" s="18">
        <v>2800</v>
      </c>
      <c r="C46" s="74">
        <v>0</v>
      </c>
      <c r="D46" s="74">
        <v>0</v>
      </c>
      <c r="E46" s="74" t="s">
        <v>406</v>
      </c>
      <c r="F46" s="74" t="s">
        <v>571</v>
      </c>
      <c r="G46" s="20" t="s">
        <v>61</v>
      </c>
      <c r="H46" s="19" t="s">
        <v>572</v>
      </c>
      <c r="I46" s="19" t="s">
        <v>478</v>
      </c>
      <c r="J46" s="19" t="s">
        <v>496</v>
      </c>
      <c r="K46" s="19" t="s">
        <v>576</v>
      </c>
      <c r="L46" s="19"/>
      <c r="M46" s="19"/>
      <c r="N46" s="19"/>
      <c r="O46" s="19"/>
      <c r="P46" s="19"/>
      <c r="Q46" s="19"/>
      <c r="R46" s="19"/>
    </row>
    <row r="47" spans="1:18" ht="16.2">
      <c r="A47" s="15">
        <v>2800</v>
      </c>
      <c r="B47" s="18">
        <v>3150</v>
      </c>
      <c r="C47" s="74"/>
      <c r="D47" s="74"/>
      <c r="E47" s="74"/>
      <c r="F47" s="74"/>
      <c r="G47" s="21"/>
      <c r="H47" s="19" t="s">
        <v>43</v>
      </c>
      <c r="I47" s="19" t="s">
        <v>573</v>
      </c>
      <c r="J47" s="19" t="s">
        <v>502</v>
      </c>
      <c r="K47" s="19" t="s">
        <v>577</v>
      </c>
      <c r="L47" s="19"/>
      <c r="M47" s="19"/>
      <c r="N47" s="19"/>
      <c r="O47" s="19"/>
      <c r="P47" s="19"/>
      <c r="Q47" s="19"/>
      <c r="R47" s="19"/>
    </row>
  </sheetData>
  <mergeCells count="69">
    <mergeCell ref="A1:B1"/>
    <mergeCell ref="C1:R1"/>
    <mergeCell ref="A2:A6"/>
    <mergeCell ref="B2:B6"/>
    <mergeCell ref="C6:D6"/>
    <mergeCell ref="C2:C5"/>
    <mergeCell ref="D2:D5"/>
    <mergeCell ref="E2:R5"/>
    <mergeCell ref="C12:C13"/>
    <mergeCell ref="D10:D11"/>
    <mergeCell ref="E10:E11"/>
    <mergeCell ref="D12:D13"/>
    <mergeCell ref="E12:E13"/>
    <mergeCell ref="C10:C11"/>
    <mergeCell ref="C16:C17"/>
    <mergeCell ref="D16:D17"/>
    <mergeCell ref="E16:E17"/>
    <mergeCell ref="C14:C15"/>
    <mergeCell ref="D14:D15"/>
    <mergeCell ref="E14:E15"/>
    <mergeCell ref="D36:D37"/>
    <mergeCell ref="E36:E37"/>
    <mergeCell ref="C30:C31"/>
    <mergeCell ref="D30:D31"/>
    <mergeCell ref="E30:E31"/>
    <mergeCell ref="F46:F47"/>
    <mergeCell ref="C42:C43"/>
    <mergeCell ref="D42:D43"/>
    <mergeCell ref="E42:E43"/>
    <mergeCell ref="C44:C45"/>
    <mergeCell ref="D44:D45"/>
    <mergeCell ref="E44:E45"/>
    <mergeCell ref="C18:C19"/>
    <mergeCell ref="D18:D19"/>
    <mergeCell ref="E18:E19"/>
    <mergeCell ref="C46:C47"/>
    <mergeCell ref="D46:D47"/>
    <mergeCell ref="E46:E47"/>
    <mergeCell ref="C38:C39"/>
    <mergeCell ref="D38:D39"/>
    <mergeCell ref="E38:E39"/>
    <mergeCell ref="C40:C41"/>
    <mergeCell ref="D40:D41"/>
    <mergeCell ref="E40:E41"/>
    <mergeCell ref="C34:C35"/>
    <mergeCell ref="D34:D35"/>
    <mergeCell ref="E34:E35"/>
    <mergeCell ref="C36:C37"/>
    <mergeCell ref="G20:G22"/>
    <mergeCell ref="C20:C22"/>
    <mergeCell ref="D20:D22"/>
    <mergeCell ref="E20:E22"/>
    <mergeCell ref="F20:F22"/>
    <mergeCell ref="G23:G25"/>
    <mergeCell ref="F23:F25"/>
    <mergeCell ref="E23:E25"/>
    <mergeCell ref="D23:D25"/>
    <mergeCell ref="C23:C25"/>
    <mergeCell ref="F26:F27"/>
    <mergeCell ref="G26:G27"/>
    <mergeCell ref="C32:C33"/>
    <mergeCell ref="D32:D33"/>
    <mergeCell ref="E32:E33"/>
    <mergeCell ref="C26:C27"/>
    <mergeCell ref="D26:D27"/>
    <mergeCell ref="E26:E27"/>
    <mergeCell ref="C28:C29"/>
    <mergeCell ref="D28:D29"/>
    <mergeCell ref="E28:E29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AE1E2-F2A1-46C5-9043-A7A3094A6A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標準公差等級值</vt:lpstr>
      <vt:lpstr>孔A至M的基本偏差值</vt:lpstr>
      <vt:lpstr>孔N至ZC的基本偏差值</vt:lpstr>
      <vt:lpstr>軸 a 至 j 之基本偏差值 </vt:lpstr>
      <vt:lpstr>軸 k 至 zc 之基本偏差值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泓文 陳</cp:lastModifiedBy>
  <dcterms:created xsi:type="dcterms:W3CDTF">2025-07-28T19:36:53Z</dcterms:created>
  <dcterms:modified xsi:type="dcterms:W3CDTF">2025-12-05T08:38:50Z</dcterms:modified>
</cp:coreProperties>
</file>